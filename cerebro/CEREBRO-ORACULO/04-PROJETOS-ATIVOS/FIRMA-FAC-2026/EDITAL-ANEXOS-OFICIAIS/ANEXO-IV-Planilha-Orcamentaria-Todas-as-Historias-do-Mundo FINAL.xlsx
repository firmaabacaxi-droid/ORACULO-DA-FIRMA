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_Orçamentária" sheetId="1" state="visible" r:id="rId3"/>
  </sheets>
  <definedNames>
    <definedName function="false" hidden="true" localSheetId="0" name="_xlnm._FilterDatabase" vbProcedure="false">Plan_Orçamentária!$A$20:$M$20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Luiz Henrique Fernandes Souza</author>
  </authors>
  <commentList>
    <comment ref="A19" authorId="0">
      <text>
        <r>
          <rPr>
            <sz val="10"/>
            <rFont val="Arial"/>
            <family val="2"/>
          </rPr>
          <t xml:space="preserve">Campo com fórmula Preenchimento automático
</t>
        </r>
      </text>
    </comment>
  </commentList>
</comments>
</file>

<file path=xl/sharedStrings.xml><?xml version="1.0" encoding="utf-8"?>
<sst xmlns="http://schemas.openxmlformats.org/spreadsheetml/2006/main" count="343" uniqueCount="179">
  <si>
    <t xml:space="preserve">GOVERNO DO DISTRITO FEDERAL</t>
  </si>
  <si>
    <t xml:space="preserve">Secretaria de Estado de Cultura e Economia Criativa</t>
  </si>
  <si>
    <t xml:space="preserve">Subsecretaria de Fomento e Incentivo Cultural</t>
  </si>
  <si>
    <t xml:space="preserve">Coordenação do Fundo de Apoio à Cultura</t>
  </si>
  <si>
    <t xml:space="preserve">Diretoria de Implementação de Modalidades de Fomento Cultural</t>
  </si>
  <si>
    <t xml:space="preserve">TÍTULO OU NOME DO PROJETO:</t>
  </si>
  <si>
    <t xml:space="preserve">Todas as Histórias do Mundo</t>
  </si>
  <si>
    <t xml:space="preserve">Planilha Orçamentária </t>
  </si>
  <si>
    <t xml:space="preserve">PROPONENTE:</t>
  </si>
  <si>
    <t xml:space="preserve">Filipe Duque</t>
  </si>
  <si>
    <t xml:space="preserve">Edital FAC I - 2026</t>
  </si>
  <si>
    <t xml:space="preserve">RESUMO FINANCEIRO DO PROJETO</t>
  </si>
  <si>
    <t xml:space="preserve">SELECIONE AO LADO A CATEGORIA DO PROPONENTE DE ACORDO COM SUA NATUREZA JURÍDICA &gt;&gt;&gt;</t>
  </si>
  <si>
    <t xml:space="preserve">Pessoa Física</t>
  </si>
  <si>
    <t xml:space="preserve">ATENÇÃO - Limites:                                   </t>
  </si>
  <si>
    <t xml:space="preserve">TIPO DE DESPESA</t>
  </si>
  <si>
    <t xml:space="preserve">Provimento para Proponente</t>
  </si>
  <si>
    <t xml:space="preserve">Gastos com divulgação do projeto -5% (mínimo) e 20% (máximo) - Ver item 5.7 do Edital</t>
  </si>
  <si>
    <t xml:space="preserve">Elaboração</t>
  </si>
  <si>
    <t xml:space="preserve">Provimento para Terceiros</t>
  </si>
  <si>
    <t xml:space="preserve">Limite de gastos com despesas administrativas  - 15% (máximo) - Ver item 5.9 do Edital</t>
  </si>
  <si>
    <t xml:space="preserve">Despesas Administrativas</t>
  </si>
  <si>
    <t xml:space="preserve">Valor Total Solicitado ao FAC</t>
  </si>
  <si>
    <t xml:space="preserve">Gastos com elaboração do projeto - 5% (máximo) -respeitando o limite de R$15.000,00 - Ver item 5.10 do Edital</t>
  </si>
  <si>
    <t xml:space="preserve">Divulgação</t>
  </si>
  <si>
    <t xml:space="preserve">Recursos provenientes de cobrança de ingressos</t>
  </si>
  <si>
    <t xml:space="preserve">Recursos destinados ao proponente - Pessoa Física - 30% respeitando o limite de R$45.000,00</t>
  </si>
  <si>
    <t xml:space="preserve">Outros</t>
  </si>
  <si>
    <t xml:space="preserve">Recursos financeiros de outras fontes</t>
  </si>
  <si>
    <t xml:space="preserve">Pessoa Jurídica - 30% - Ver item 5.8 do Edital</t>
  </si>
  <si>
    <t xml:space="preserve">VALOR TOTAL SOLICITADO AO FAC</t>
  </si>
  <si>
    <t xml:space="preserve">PLANILHA ORÇAMENTÁRIA</t>
  </si>
  <si>
    <t xml:space="preserve">Informe em qual etapa do projeto o item será utilizado de acordo com as opções disponíveis.</t>
  </si>
  <si>
    <t xml:space="preserve">Descreva a atividade, serviço ou mão-de-obra.  (Ex.: Produtor Executivo; Designer gráfico; etc.). </t>
  </si>
  <si>
    <t xml:space="preserve">Justifique detalhadamente a necessidade do item para o projeto. (Ex.: produtor de objetos - confecciona e/ou pesquisa adereços a pedido da direção de arte; Designer gráfico - elabora o material de divulgação do projeto; etc.). Também devem ser apresentadas justificativas, caso o projeto apresente contratação de funções distintas com as mesmas atribuições.</t>
  </si>
  <si>
    <t xml:space="preserve">Informe o parâmetro utilizado para se chegar ao valor solicitado.  (Ex.: orçamento, preço médio de contratos anteriormente realizados, tabela da FGV/MinC, tabela sindical, etc.)</t>
  </si>
  <si>
    <t xml:space="preserve">Quem será pago? Veja opções.</t>
  </si>
  <si>
    <t xml:space="preserve">Indique a natureza do gasto de acordo com o tipo de despesa. Veja as opções e verifique também as restrições de gastos.</t>
  </si>
  <si>
    <t xml:space="preserve">Ex.: pessoas, horas, meses, Kg, serviço, metros, etc.</t>
  </si>
  <si>
    <t xml:space="preserve">Quantas vezes a unidade se repete?</t>
  </si>
  <si>
    <t xml:space="preserve">Quanto custa uma unidade do item?</t>
  </si>
  <si>
    <t xml:space="preserve">Custo total do item 
(Campo com fórmula preenchimento automático)</t>
  </si>
  <si>
    <t xml:space="preserve">A opção "Recursos provenientes de cobrança de ingressos" deve ser utilizada nos casos em que houver cobrança de ingressos no âmbito da execução do projeto, devendo ser apresentado nesta planilha orçamentária à previsão de quais itens serão custeados com esse recurso. Os itens identificados na planilha orçamentária como custeados com “Recursos provenientes de cobrança de ingressos” não serão considerados para a soma que defini o “Valor total solicitado ao FAC”. A opção “Recursos financeiros de outras fontes” deve ser utilizada caso o proponente queira detalhar os itens do projeto que serão custeados com recursos não provenientes do FAC. Os itens identificados na planilha orçamentária como custeados com “Recursos financeiros de outras fontes” não serão considerados para a soma que defini o “Valor total solicitado ao FAC” e também não serão considerados para fins de Prestação de Contas.</t>
  </si>
  <si>
    <t xml:space="preserve">Nº</t>
  </si>
  <si>
    <t xml:space="preserve">Etapa do Projeto</t>
  </si>
  <si>
    <t xml:space="preserve">Descrição</t>
  </si>
  <si>
    <t xml:space="preserve">Justificativa para o item solicitado</t>
  </si>
  <si>
    <t xml:space="preserve">Justificativa para o valor solicitado</t>
  </si>
  <si>
    <t xml:space="preserve">Provimento</t>
  </si>
  <si>
    <t xml:space="preserve">Tipo de Despesa</t>
  </si>
  <si>
    <t xml:space="preserve">Unidade de Medida</t>
  </si>
  <si>
    <t xml:space="preserve">Quantidade</t>
  </si>
  <si>
    <t xml:space="preserve">Valor Unitário</t>
  </si>
  <si>
    <t xml:space="preserve">Valor Total</t>
  </si>
  <si>
    <t xml:space="preserve">Origem do Recursos que irão custear o projeto</t>
  </si>
  <si>
    <t xml:space="preserve">Pré-Produção</t>
  </si>
  <si>
    <t xml:space="preserve">Concepção e criação dramatúrgica</t>
  </si>
  <si>
    <t xml:space="preserve">Concepção do espetáculo, construção da dramaturgia e do roteiro cênico do solo, base de toda a criação.</t>
  </si>
  <si>
    <t xml:space="preserve">Cachê de artista-criador com 20 anos de carreira; valor de referência de mercado para concepção dramatúrgica de espetáculo solo.</t>
  </si>
  <si>
    <t xml:space="preserve">Proponente</t>
  </si>
  <si>
    <t xml:space="preserve">projeto</t>
  </si>
  <si>
    <t xml:space="preserve">FAC</t>
  </si>
  <si>
    <t xml:space="preserve">Direção — criação (Eliana Carneiro)</t>
  </si>
  <si>
    <t xml:space="preserve">Direção artística na fase de criação: condução da pesquisa, concepção da encenação e integração entre corpo, narrativa e videoprojeção.</t>
  </si>
  <si>
    <t xml:space="preserve">Cachê de direção para a etapa de criação; reduzido conforme adequação orçamentária.</t>
  </si>
  <si>
    <t xml:space="preserve">Terceiros</t>
  </si>
  <si>
    <t xml:space="preserve">Criação de conteúdo de videoprojeção mapeada</t>
  </si>
  <si>
    <t xml:space="preserve">Criação do conteúdo audiovisual projetado (imagens, texturas, mapeamento) sobre a cenografia de tecidos — linguagem constitutiva da obra. Inclui equipamentos e software do profissional.</t>
  </si>
  <si>
    <t xml:space="preserve">Serviço especializado de videomapping com equipamentos próprios; valor de referência de mercado.</t>
  </si>
  <si>
    <t xml:space="preserve">Direção de Arte — Concepção Artística</t>
  </si>
  <si>
    <t xml:space="preserve">Concepção do sistema visual e estético integrado: cenografia de tecidos, iluminação, videoprojeção e ritmo cênico.</t>
  </si>
  <si>
    <t xml:space="preserve">Cachê de diretor/a de arte para concepção artística integrada; referência de mercado.</t>
  </si>
  <si>
    <t xml:space="preserve">Desenho de luz</t>
  </si>
  <si>
    <t xml:space="preserve">Concepção do projeto de iluminação cênica integrado à videoprojeção e à dramaturgia.</t>
  </si>
  <si>
    <t xml:space="preserve">Cachê de light designer para espetáculo; referência de mercado.</t>
  </si>
  <si>
    <t xml:space="preserve">Trilha sonora original e desenho de som</t>
  </si>
  <si>
    <t xml:space="preserve">Composição da trilha original e desenho sonoro completo do espetáculo.</t>
  </si>
  <si>
    <t xml:space="preserve">Cachê de compositor/sound designer para criação de trilha original e desenho de som de espetáculo.</t>
  </si>
  <si>
    <t xml:space="preserve">Criação e Confecção de Figurinos</t>
  </si>
  <si>
    <t xml:space="preserve">Concepção e execução dos figurinos dos múltiplos personagens habitados pelo intérprete em cena — criação, tecidos, costura e acabamento.</t>
  </si>
  <si>
    <t xml:space="preserve">Cachê de figurinista e orçamento de materiais; referência de mercado para processo integrado.</t>
  </si>
  <si>
    <t xml:space="preserve">Operador de cena — ensaios</t>
  </si>
  <si>
    <t xml:space="preserve">Operação ao vivo da cenografia de tecidos suspensos durante a fase de ensaios.</t>
  </si>
  <si>
    <t xml:space="preserve">4 semanas de ensaios a R$ 1.500/semana; referência de mercado.</t>
  </si>
  <si>
    <t xml:space="preserve">semana</t>
  </si>
  <si>
    <t xml:space="preserve">Produção</t>
  </si>
  <si>
    <t xml:space="preserve">Cachê de ensaios e montagem (atuação)</t>
  </si>
  <si>
    <t xml:space="preserve">Período de ensaios e montagem do espetáculo pelo ator-criador.</t>
  </si>
  <si>
    <t xml:space="preserve">2 meses de ensaios/montagem a R$ 5.000/mês; cachê de intérprete principal.</t>
  </si>
  <si>
    <t xml:space="preserve">mês</t>
  </si>
  <si>
    <t xml:space="preserve">Direção — montagem (Eliana Carneiro)</t>
  </si>
  <si>
    <t xml:space="preserve">Direção artística na fase de montagem: ensaios finais, marcação de cena e integração técnica.</t>
  </si>
  <si>
    <t xml:space="preserve">Cachê de direção para a etapa de montagem; reduzido conforme adequação orçamentária.</t>
  </si>
  <si>
    <t xml:space="preserve">Assistência de direção</t>
  </si>
  <si>
    <t xml:space="preserve">Apoio à direção nos ensaios, registro de marcações e organização do processo de montagem.</t>
  </si>
  <si>
    <t xml:space="preserve">2 meses a R$ 2.000/mês; referência de mercado para assistência de direção intensiva.</t>
  </si>
  <si>
    <t xml:space="preserve">Confecção de Cenografia, Adereços e Planejamento</t>
  </si>
  <si>
    <t xml:space="preserve">Material e execução da cenografia de tecidos suspensos, adereços cênicos (saco, corda, diábolo) e planejamento técnico; inclui cordas, polias, estrutura de sustentação.</t>
  </si>
  <si>
    <t xml:space="preserve">Orçamento integrado de materiais e mão de obra de confecção da cenografia e adereços cênicos.</t>
  </si>
  <si>
    <t xml:space="preserve">Material</t>
  </si>
  <si>
    <t xml:space="preserve">Aluguel de sala de ensaio</t>
  </si>
  <si>
    <t xml:space="preserve">Locação de espaço adequado para ensaios com pé-direito e área para a cenografia suspensa.</t>
  </si>
  <si>
    <t xml:space="preserve">4 semanas a R$ 800/semana; referência de mercado no DF.</t>
  </si>
  <si>
    <t xml:space="preserve">Aluguel</t>
  </si>
  <si>
    <t xml:space="preserve">Locação de projetor de alta luminosidade</t>
  </si>
  <si>
    <t xml:space="preserve">Projetor de alto lúmen para a videoprojeção mapeada nos ensaios técnicos e apresentações.</t>
  </si>
  <si>
    <t xml:space="preserve">3 semanas a R$ 2.200/semana; referência de locação de projetor profissional.</t>
  </si>
  <si>
    <t xml:space="preserve">Equipamento</t>
  </si>
  <si>
    <t xml:space="preserve">Locação de iluminação cênica</t>
  </si>
  <si>
    <t xml:space="preserve">Equipamento de iluminação cênica para as apresentações.</t>
  </si>
  <si>
    <t xml:space="preserve">6 apresentações a R$ 900 cada; referência de locação de rig de luz.</t>
  </si>
  <si>
    <t xml:space="preserve">apresentação</t>
  </si>
  <si>
    <t xml:space="preserve">Locação de som (PA e microfonia)</t>
  </si>
  <si>
    <t xml:space="preserve">Sistema de PA e microfonia para as apresentações.</t>
  </si>
  <si>
    <t xml:space="preserve">6 apresentações a R$ 700 cada; referência de locação de som.</t>
  </si>
  <si>
    <t xml:space="preserve">Cachê de apresentação (atuação)</t>
  </si>
  <si>
    <t xml:space="preserve">Cachê do ator pelas 6 apresentações presenciais do espetáculo.</t>
  </si>
  <si>
    <t xml:space="preserve">6 apresentações a R$ 1.400 cada; ajuste conforme adequação orçamentária.</t>
  </si>
  <si>
    <t xml:space="preserve">Direção — acompanhamento das apresentações</t>
  </si>
  <si>
    <t xml:space="preserve">Acompanhamento da direção nas apresentações para manutenção da qualidade da encenação.</t>
  </si>
  <si>
    <t xml:space="preserve">6 apresentações a R$ 700 cada; referência de mercado.</t>
  </si>
  <si>
    <t xml:space="preserve">Aluguel de teatro</t>
  </si>
  <si>
    <t xml:space="preserve">Locação dos espaços para as 6 apresentações presenciais no DF.</t>
  </si>
  <si>
    <t xml:space="preserve">6 apresentações a R$ 1.600 cada; referência de locação de teatro no DF.</t>
  </si>
  <si>
    <t xml:space="preserve">Iluminador — operador técnico de luz</t>
  </si>
  <si>
    <t xml:space="preserve">Operador técnico de iluminação cênica durante as apresentações.</t>
  </si>
  <si>
    <t xml:space="preserve">6 apresentações a R$ 600 cada; referência de mercado para técnico especializado.</t>
  </si>
  <si>
    <t xml:space="preserve">Operador de som</t>
  </si>
  <si>
    <t xml:space="preserve">Operador técnico de som e PA durante as apresentações.</t>
  </si>
  <si>
    <t xml:space="preserve">Hold — operador de cenografia</t>
  </si>
  <si>
    <t xml:space="preserve">Operador ao vivo da cenografia de tecidos e adereços cênicos durante as apresentações.</t>
  </si>
  <si>
    <t xml:space="preserve">6 apresentações a R$ 600 cada; referência de mercado para técnico de operação de cena.</t>
  </si>
  <si>
    <t xml:space="preserve">Transporte de cenografia e equipamentos</t>
  </si>
  <si>
    <t xml:space="preserve">Transporte de cenografia, figurinos e equipamentos para cada apresentação.</t>
  </si>
  <si>
    <t xml:space="preserve">6 apresentações a R$ 400 cada; referência de frete local.</t>
  </si>
  <si>
    <t xml:space="preserve">Transporte</t>
  </si>
  <si>
    <t xml:space="preserve">Intérprete de Libras</t>
  </si>
  <si>
    <t xml:space="preserve">Tradução/interpretação em Libras em 2 apresentações presenciais.</t>
  </si>
  <si>
    <t xml:space="preserve">2 apresentações a R$ 700 cada; referência de mercado para intérprete de Libras.</t>
  </si>
  <si>
    <t xml:space="preserve">Audiodescrição (roteiro, narração e transmissão)</t>
  </si>
  <si>
    <t xml:space="preserve">Elaboração de roteiro, narração de audiodescrição e sistema de transmissão em 1 sessão presencial completa.</t>
  </si>
  <si>
    <t xml:space="preserve">Serviço de audiodescrição (roteiro + narração + equipamento de transmissão) para 1 sessão.</t>
  </si>
  <si>
    <t xml:space="preserve">sessão</t>
  </si>
  <si>
    <t xml:space="preserve">Pós-Produção</t>
  </si>
  <si>
    <t xml:space="preserve">Produção executiva</t>
  </si>
  <si>
    <t xml:space="preserve">Coordenação geral do projeto: contratações, agenda, logística e gestão durante a execução.</t>
  </si>
  <si>
    <t xml:space="preserve">4 meses a R$ 3.000/mês; valor ajustado conforme escopo ampliado.</t>
  </si>
  <si>
    <t xml:space="preserve">Assistente de produção</t>
  </si>
  <si>
    <t xml:space="preserve">Apoio à produção executiva: logística, contatos, organização de equipe e materiais.</t>
  </si>
  <si>
    <t xml:space="preserve">4 meses a R$ 1.500/mês; referência de mercado para assistência de produção.</t>
  </si>
  <si>
    <t xml:space="preserve">Registro audiovisual do espetáculo</t>
  </si>
  <si>
    <t xml:space="preserve">Captação multicâmera profissional de uma apresentação para registro e difusão.</t>
  </si>
  <si>
    <t xml:space="preserve">Diária de captação multicâmera com equipe e equipamento.</t>
  </si>
  <si>
    <t xml:space="preserve">Edição e finalização do registro</t>
  </si>
  <si>
    <t xml:space="preserve">Edição, correção de cor e finalização do registro audiovisual.</t>
  </si>
  <si>
    <t xml:space="preserve">Serviço de pós-produção do registro audiovisual.</t>
  </si>
  <si>
    <t xml:space="preserve">Registro de processo (making-of)</t>
  </si>
  <si>
    <t xml:space="preserve">Profissional que acompanha e registra o processo de criação e montagem do espetáculo.</t>
  </si>
  <si>
    <t xml:space="preserve">3 semanas a R$ 1.500/semana acompanhando o processo.</t>
  </si>
  <si>
    <t xml:space="preserve">Fotografia de cena</t>
  </si>
  <si>
    <t xml:space="preserve">Cobertura fotográfica profissional do espetáculo para divulgação e acervo.</t>
  </si>
  <si>
    <t xml:space="preserve">4 diárias a R$ 1.100 cada; ajuste conforme adequação orçamentária.</t>
  </si>
  <si>
    <t xml:space="preserve">dia</t>
  </si>
  <si>
    <t xml:space="preserve">Design gráfico</t>
  </si>
  <si>
    <t xml:space="preserve">Criação de identidade visual, cartaz, programa e materiais de divulgação.</t>
  </si>
  <si>
    <t xml:space="preserve">Serviço de design gráfico para o projeto.</t>
  </si>
  <si>
    <t xml:space="preserve">Assessoria de imprensa</t>
  </si>
  <si>
    <t xml:space="preserve">Assessoria de imprensa para divulgação do espetáculo na mídia local.</t>
  </si>
  <si>
    <t xml:space="preserve">3 meses a R$ 2.000/mês; referência de mercado para assessoria.</t>
  </si>
  <si>
    <t xml:space="preserve">Gestão de redes sociais e conteúdo</t>
  </si>
  <si>
    <t xml:space="preserve">Produção de conteúdo e gestão das redes sociais do projeto.</t>
  </si>
  <si>
    <t xml:space="preserve">3 meses a R$ 2.500/mês; referência de mercado.</t>
  </si>
  <si>
    <t xml:space="preserve">Tráfego pago e impulsionamento</t>
  </si>
  <si>
    <t xml:space="preserve">Impulsionamento de publicações para ampliar o alcance da divulgação.</t>
  </si>
  <si>
    <t xml:space="preserve">Verba de mídia para impulsionamento das apresentações.</t>
  </si>
  <si>
    <t xml:space="preserve">Material gráfico impresso</t>
  </si>
  <si>
    <t xml:space="preserve">Impressão de cartazes e programas para as apresentações.</t>
  </si>
  <si>
    <t xml:space="preserve">Lote de impressão de material gráfico otimizado.</t>
  </si>
  <si>
    <t xml:space="preserve">lote</t>
  </si>
</sst>
</file>

<file path=xl/styles.xml><?xml version="1.0" encoding="utf-8"?>
<styleSheet xmlns="http://schemas.openxmlformats.org/spreadsheetml/2006/main">
  <numFmts count="5">
    <numFmt numFmtId="164" formatCode="General"/>
    <numFmt numFmtId="165" formatCode="_(&quot;R$ &quot;* #,##0.00_);_(&quot;R$ &quot;* \(#,##0.00\);_(&quot;R$ &quot;* \-??_);_(@_)"/>
    <numFmt numFmtId="166" formatCode="0%"/>
    <numFmt numFmtId="167" formatCode="&quot;R$ &quot;#,##0.00"/>
    <numFmt numFmtId="168" formatCode="0.00%"/>
  </numFmts>
  <fonts count="14">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2"/>
      <color theme="1"/>
      <name val="Calibri"/>
      <family val="2"/>
      <charset val="1"/>
    </font>
    <font>
      <b val="true"/>
      <sz val="11"/>
      <color theme="1"/>
      <name val="Calibri"/>
      <family val="2"/>
      <charset val="1"/>
    </font>
    <font>
      <b val="true"/>
      <u val="single"/>
      <sz val="18"/>
      <color theme="1"/>
      <name val="Calibri"/>
      <family val="2"/>
      <charset val="1"/>
    </font>
    <font>
      <b val="true"/>
      <sz val="12"/>
      <color theme="0"/>
      <name val="Calibri"/>
      <family val="2"/>
      <charset val="1"/>
    </font>
    <font>
      <b val="true"/>
      <i val="true"/>
      <sz val="12"/>
      <color rgb="FF000000"/>
      <name val="Calibri"/>
      <family val="2"/>
      <charset val="1"/>
    </font>
    <font>
      <b val="true"/>
      <sz val="10"/>
      <color theme="0"/>
      <name val="Calibri"/>
      <family val="2"/>
      <charset val="1"/>
    </font>
    <font>
      <b val="true"/>
      <sz val="11"/>
      <color rgb="FF000000"/>
      <name val="Calibri"/>
      <family val="2"/>
      <charset val="1"/>
    </font>
    <font>
      <b val="true"/>
      <u val="single"/>
      <sz val="10"/>
      <color theme="0"/>
      <name val="Calibri"/>
      <family val="2"/>
      <charset val="1"/>
    </font>
    <font>
      <sz val="10"/>
      <name val="Arial"/>
      <family val="2"/>
    </font>
  </fonts>
  <fills count="9">
    <fill>
      <patternFill patternType="none"/>
    </fill>
    <fill>
      <patternFill patternType="gray125"/>
    </fill>
    <fill>
      <patternFill patternType="solid">
        <fgColor theme="0" tint="-0.35"/>
        <bgColor rgb="FFBFBFBF"/>
      </patternFill>
    </fill>
    <fill>
      <patternFill patternType="solid">
        <fgColor theme="1" tint="0.4999"/>
        <bgColor rgb="FF666699"/>
      </patternFill>
    </fill>
    <fill>
      <patternFill patternType="solid">
        <fgColor theme="0" tint="-0.15"/>
        <bgColor rgb="FFEEECE1"/>
      </patternFill>
    </fill>
    <fill>
      <patternFill patternType="solid">
        <fgColor rgb="FFFF0000"/>
        <bgColor rgb="FF993300"/>
      </patternFill>
    </fill>
    <fill>
      <patternFill patternType="solid">
        <fgColor theme="2"/>
        <bgColor rgb="FFF2F2F2"/>
      </patternFill>
    </fill>
    <fill>
      <patternFill patternType="solid">
        <fgColor theme="0" tint="-0.05"/>
        <bgColor rgb="FFEEECE1"/>
      </patternFill>
    </fill>
    <fill>
      <patternFill patternType="solid">
        <fgColor theme="0" tint="-0.25"/>
        <bgColor rgb="FFA6A6A6"/>
      </patternFill>
    </fill>
  </fills>
  <borders count="21">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thin"/>
      <right/>
      <top/>
      <bottom style="medium"/>
      <diagonal/>
    </border>
    <border diagonalUp="false" diagonalDown="false">
      <left style="thin"/>
      <right style="thin"/>
      <top/>
      <bottom style="medium"/>
      <diagonal/>
    </border>
    <border diagonalUp="false" diagonalDown="false">
      <left/>
      <right style="medium"/>
      <top/>
      <bottom/>
      <diagonal/>
    </border>
    <border diagonalUp="false" diagonalDown="false">
      <left style="medium"/>
      <right style="thin"/>
      <top/>
      <bottom/>
      <diagonal/>
    </border>
    <border diagonalUp="false" diagonalDown="false">
      <left style="thin"/>
      <right style="thin"/>
      <top style="medium"/>
      <bottom style="thin"/>
      <diagonal/>
    </border>
    <border diagonalUp="false" diagonalDown="false">
      <left style="thin"/>
      <right style="thin"/>
      <top/>
      <bottom style="thin"/>
      <diagonal/>
    </border>
    <border diagonalUp="false" diagonalDown="false">
      <left/>
      <right/>
      <top/>
      <bottom style="thin"/>
      <diagonal/>
    </border>
    <border diagonalUp="false" diagonalDown="false">
      <left style="medium"/>
      <right/>
      <top/>
      <bottom/>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thin"/>
      <top style="thin"/>
      <bottom style="medium"/>
      <diagonal/>
    </border>
    <border diagonalUp="false" diagonalDown="false">
      <left/>
      <right/>
      <top style="thin"/>
      <bottom/>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right style="medium"/>
      <top/>
      <bottom style="thin"/>
      <diagonal/>
    </border>
    <border diagonalUp="false" diagonalDown="false">
      <left/>
      <right style="thin"/>
      <top/>
      <bottom style="thin"/>
      <diagonal/>
    </border>
    <border diagonalUp="false" diagonalDown="false">
      <left style="thin"/>
      <right/>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false" hidden="false"/>
    </xf>
    <xf numFmtId="164" fontId="5" fillId="0" borderId="0" xfId="0" applyFont="true" applyBorder="false" applyAlignment="false" applyProtection="true">
      <alignment horizontal="general" vertical="bottom" textRotation="0" wrapText="false" indent="0" shrinkToFit="false"/>
      <protection locked="false" hidden="false"/>
    </xf>
    <xf numFmtId="164" fontId="6" fillId="2" borderId="1" xfId="0" applyFont="true" applyBorder="true" applyAlignment="true" applyProtection="true">
      <alignment horizontal="left" vertical="bottom" textRotation="0" wrapText="true" indent="0" shrinkToFit="false"/>
      <protection locked="true" hidden="true"/>
    </xf>
    <xf numFmtId="164" fontId="0" fillId="0" borderId="1" xfId="0" applyFont="true" applyBorder="true" applyAlignment="true" applyProtection="true">
      <alignment horizontal="center" vertical="bottom" textRotation="0" wrapText="false" indent="0" shrinkToFit="false"/>
      <protection locked="false" hidden="false"/>
    </xf>
    <xf numFmtId="164" fontId="7" fillId="0" borderId="0"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left" vertical="bottom" textRotation="0" wrapText="false" indent="0" shrinkToFit="false"/>
      <protection locked="false" hidden="false"/>
    </xf>
    <xf numFmtId="164" fontId="6" fillId="2" borderId="1" xfId="0" applyFont="true" applyBorder="true" applyAlignment="true" applyProtection="true">
      <alignment horizontal="left" vertical="center" textRotation="0" wrapText="false" indent="0" shrinkToFit="false"/>
      <protection locked="true" hidden="true"/>
    </xf>
    <xf numFmtId="164" fontId="8" fillId="3" borderId="2" xfId="0" applyFont="true" applyBorder="true" applyAlignment="true" applyProtection="true">
      <alignment horizontal="center" vertical="center" textRotation="0" wrapText="false" indent="0" shrinkToFit="false"/>
      <protection locked="true" hidden="true"/>
    </xf>
    <xf numFmtId="164" fontId="9" fillId="4" borderId="3" xfId="0" applyFont="true" applyBorder="true" applyAlignment="true" applyProtection="true">
      <alignment horizontal="center" vertical="center" textRotation="0" wrapText="false" indent="0" shrinkToFit="false"/>
      <protection locked="true" hidden="true"/>
    </xf>
    <xf numFmtId="164" fontId="5" fillId="4" borderId="4" xfId="0" applyFont="true" applyBorder="true" applyAlignment="true" applyProtection="true">
      <alignment horizontal="center" vertical="bottom" textRotation="0" wrapText="false" indent="0" shrinkToFit="false"/>
      <protection locked="false" hidden="false"/>
    </xf>
    <xf numFmtId="167" fontId="10" fillId="5" borderId="0" xfId="0" applyFont="true" applyBorder="false" applyAlignment="true" applyProtection="true">
      <alignment horizontal="general" vertical="center" textRotation="0" wrapText="false" indent="0" shrinkToFit="false"/>
      <protection locked="true" hidden="true"/>
    </xf>
    <xf numFmtId="167" fontId="10" fillId="5" borderId="5" xfId="0" applyFont="true" applyBorder="true" applyAlignment="true" applyProtection="true">
      <alignment horizontal="general" vertical="center" textRotation="0" wrapText="false" indent="0" shrinkToFit="false"/>
      <protection locked="true" hidden="true"/>
    </xf>
    <xf numFmtId="164" fontId="11" fillId="4" borderId="6" xfId="0" applyFont="true" applyBorder="true" applyAlignment="true" applyProtection="true">
      <alignment horizontal="center" vertical="center" textRotation="0" wrapText="false" indent="0" shrinkToFit="false"/>
      <protection locked="true" hidden="true"/>
    </xf>
    <xf numFmtId="164" fontId="6" fillId="6" borderId="7" xfId="0" applyFont="true" applyBorder="true" applyAlignment="true" applyProtection="true">
      <alignment horizontal="center" vertical="center" textRotation="0" wrapText="false" indent="0" shrinkToFit="false"/>
      <protection locked="true" hidden="true"/>
    </xf>
    <xf numFmtId="168" fontId="6" fillId="6" borderId="8" xfId="0" applyFont="true" applyBorder="true" applyAlignment="true" applyProtection="true">
      <alignment horizontal="center" vertical="center" textRotation="0" wrapText="false" indent="0" shrinkToFit="false"/>
      <protection locked="true" hidden="true"/>
    </xf>
    <xf numFmtId="167" fontId="6" fillId="6" borderId="9" xfId="0" applyFont="true" applyBorder="true" applyAlignment="true" applyProtection="true">
      <alignment horizontal="center" vertical="center" textRotation="0" wrapText="false" indent="0" shrinkToFit="false"/>
      <protection locked="true" hidden="true"/>
    </xf>
    <xf numFmtId="167" fontId="10" fillId="5" borderId="10" xfId="0" applyFont="true" applyBorder="true" applyAlignment="true" applyProtection="true">
      <alignment horizontal="general" vertical="center" textRotation="0" wrapText="false" indent="0" shrinkToFit="false"/>
      <protection locked="true" hidden="true"/>
    </xf>
    <xf numFmtId="164" fontId="6" fillId="0" borderId="11" xfId="0" applyFont="true" applyBorder="true" applyAlignment="true" applyProtection="true">
      <alignment horizontal="center" vertical="center" textRotation="0" wrapText="false" indent="0" shrinkToFit="false"/>
      <protection locked="true" hidden="true"/>
    </xf>
    <xf numFmtId="168" fontId="0" fillId="0" borderId="2" xfId="0" applyFont="false" applyBorder="true" applyAlignment="true" applyProtection="true">
      <alignment horizontal="center" vertical="center" textRotation="0" wrapText="false" indent="0" shrinkToFit="false"/>
      <protection locked="true" hidden="true"/>
    </xf>
    <xf numFmtId="167" fontId="0" fillId="0" borderId="12" xfId="0" applyFont="false" applyBorder="true" applyAlignment="true" applyProtection="true">
      <alignment horizontal="center" vertical="center" textRotation="0" wrapText="false" indent="0" shrinkToFit="false"/>
      <protection locked="true" hidden="true"/>
    </xf>
    <xf numFmtId="164" fontId="6" fillId="6" borderId="13" xfId="0" applyFont="true" applyBorder="true" applyAlignment="true" applyProtection="true">
      <alignment horizontal="center" vertical="center" textRotation="0" wrapText="false" indent="0" shrinkToFit="false"/>
      <protection locked="true" hidden="true"/>
    </xf>
    <xf numFmtId="167" fontId="6" fillId="6" borderId="14" xfId="0" applyFont="true" applyBorder="true" applyAlignment="true" applyProtection="true">
      <alignment horizontal="center" vertical="center" textRotation="0" wrapText="false" indent="0" shrinkToFit="false"/>
      <protection locked="true" hidden="true"/>
    </xf>
    <xf numFmtId="167" fontId="12" fillId="5" borderId="10" xfId="0" applyFont="true" applyBorder="true" applyAlignment="true" applyProtection="true">
      <alignment horizontal="left" vertical="center" textRotation="0" wrapText="false" indent="0" shrinkToFit="false"/>
      <protection locked="true" hidden="true"/>
    </xf>
    <xf numFmtId="167" fontId="10" fillId="5" borderId="0" xfId="0" applyFont="true" applyBorder="false" applyAlignment="true" applyProtection="true">
      <alignment horizontal="left" vertical="center" textRotation="0" wrapText="false" indent="0" shrinkToFit="false"/>
      <protection locked="true" hidden="true"/>
    </xf>
    <xf numFmtId="167" fontId="10" fillId="5" borderId="5" xfId="0" applyFont="true" applyBorder="true" applyAlignment="true" applyProtection="true">
      <alignment horizontal="left" vertical="center" textRotation="0" wrapText="false" indent="0" shrinkToFit="false"/>
      <protection locked="true" hidden="true"/>
    </xf>
    <xf numFmtId="164" fontId="6" fillId="0" borderId="7" xfId="0" applyFont="true" applyBorder="true" applyAlignment="true" applyProtection="true">
      <alignment horizontal="center" vertical="center" textRotation="0" wrapText="false" indent="0" shrinkToFit="false"/>
      <protection locked="true" hidden="true"/>
    </xf>
    <xf numFmtId="167" fontId="6" fillId="0" borderId="15" xfId="0" applyFont="true" applyBorder="true" applyAlignment="true" applyProtection="true">
      <alignment horizontal="center" vertical="center" textRotation="0" wrapText="false" indent="0" shrinkToFit="false"/>
      <protection locked="true" hidden="true"/>
    </xf>
    <xf numFmtId="164" fontId="6" fillId="7" borderId="2" xfId="0" applyFont="true" applyBorder="true" applyAlignment="true" applyProtection="true">
      <alignment horizontal="center" vertical="center" textRotation="0" wrapText="false" indent="0" shrinkToFit="false"/>
      <protection locked="true" hidden="true"/>
    </xf>
    <xf numFmtId="167" fontId="6" fillId="7" borderId="16" xfId="0" applyFont="true" applyBorder="true" applyAlignment="true" applyProtection="true">
      <alignment horizontal="center" vertical="center" textRotation="0" wrapText="false" indent="0" shrinkToFit="false"/>
      <protection locked="true" hidden="true"/>
    </xf>
    <xf numFmtId="164" fontId="6" fillId="4" borderId="2" xfId="0" applyFont="true" applyBorder="true" applyAlignment="true" applyProtection="true">
      <alignment horizontal="center" vertical="center" textRotation="0" wrapText="false" indent="0" shrinkToFit="false"/>
      <protection locked="true" hidden="true"/>
    </xf>
    <xf numFmtId="167" fontId="6" fillId="4" borderId="16" xfId="0" applyFont="true" applyBorder="true" applyAlignment="true" applyProtection="true">
      <alignment horizontal="center" vertical="center" textRotation="0" wrapText="false" indent="0" shrinkToFit="false"/>
      <protection locked="true" hidden="true"/>
    </xf>
    <xf numFmtId="167" fontId="10" fillId="5" borderId="17" xfId="0" applyFont="true" applyBorder="true" applyAlignment="true" applyProtection="true">
      <alignment horizontal="general" vertical="center" textRotation="0" wrapText="false" indent="0" shrinkToFit="false"/>
      <protection locked="true" hidden="true"/>
    </xf>
    <xf numFmtId="167" fontId="10" fillId="5" borderId="9" xfId="0" applyFont="true" applyBorder="true" applyAlignment="true" applyProtection="true">
      <alignment horizontal="general" vertical="center" textRotation="0" wrapText="false" indent="0" shrinkToFit="false"/>
      <protection locked="true" hidden="true"/>
    </xf>
    <xf numFmtId="167" fontId="10" fillId="5" borderId="18" xfId="0" applyFont="true" applyBorder="true" applyAlignment="true" applyProtection="true">
      <alignment horizontal="general" vertical="center" textRotation="0" wrapText="false" indent="0" shrinkToFit="false"/>
      <protection locked="true" hidden="true"/>
    </xf>
    <xf numFmtId="164" fontId="5" fillId="0" borderId="11" xfId="0" applyFont="true" applyBorder="true" applyAlignment="true" applyProtection="true">
      <alignment horizontal="center" vertical="center" textRotation="0" wrapText="false" indent="0" shrinkToFit="false"/>
      <protection locked="true" hidden="true"/>
    </xf>
    <xf numFmtId="167" fontId="5" fillId="0" borderId="12" xfId="0" applyFont="true" applyBorder="true" applyAlignment="true" applyProtection="true">
      <alignment horizontal="center" vertical="center" textRotation="0" wrapText="false" indent="0" shrinkToFit="false"/>
      <protection locked="true" hidden="true"/>
    </xf>
    <xf numFmtId="164" fontId="8" fillId="3" borderId="19" xfId="0" applyFont="true" applyBorder="true" applyAlignment="true" applyProtection="true">
      <alignment horizontal="center" vertical="center" textRotation="0" wrapText="false" indent="0" shrinkToFit="false"/>
      <protection locked="false" hidden="false"/>
    </xf>
    <xf numFmtId="164" fontId="11" fillId="0" borderId="2" xfId="0" applyFont="true" applyBorder="true" applyAlignment="true" applyProtection="true">
      <alignment horizontal="center" vertical="center" textRotation="0" wrapText="false" indent="0" shrinkToFit="false"/>
      <protection locked="false" hidden="false"/>
    </xf>
    <xf numFmtId="164" fontId="4" fillId="0" borderId="2" xfId="0" applyFont="true" applyBorder="true" applyAlignment="true" applyProtection="true">
      <alignment horizontal="center" vertical="center" textRotation="0" wrapText="true" indent="0" shrinkToFit="false"/>
      <protection locked="true" hidden="true"/>
    </xf>
    <xf numFmtId="164" fontId="4" fillId="0" borderId="20" xfId="0" applyFont="true" applyBorder="true" applyAlignment="true" applyProtection="true">
      <alignment horizontal="center" vertical="center" textRotation="0" wrapText="true" indent="0" shrinkToFit="false"/>
      <protection locked="true" hidden="true"/>
    </xf>
    <xf numFmtId="167" fontId="4" fillId="0" borderId="2" xfId="0" applyFont="true" applyBorder="true" applyAlignment="true" applyProtection="true">
      <alignment horizontal="center" vertical="center" textRotation="0" wrapText="true" indent="0" shrinkToFit="false"/>
      <protection locked="true" hidden="true"/>
    </xf>
    <xf numFmtId="164" fontId="11" fillId="0" borderId="2" xfId="0" applyFont="true" applyBorder="true" applyAlignment="true" applyProtection="true">
      <alignment horizontal="center" vertical="center" textRotation="0" wrapText="false" indent="0" shrinkToFit="false"/>
      <protection locked="true" hidden="true"/>
    </xf>
    <xf numFmtId="164" fontId="11" fillId="0" borderId="20" xfId="0" applyFont="true" applyBorder="true" applyAlignment="true" applyProtection="true">
      <alignment horizontal="center" vertical="center" textRotation="0" wrapText="false" indent="0" shrinkToFit="false"/>
      <protection locked="true" hidden="true"/>
    </xf>
    <xf numFmtId="167" fontId="11" fillId="0" borderId="2" xfId="0" applyFont="true" applyBorder="true" applyAlignment="true" applyProtection="true">
      <alignment horizontal="center" vertical="center" textRotation="0" wrapText="false" indent="0" shrinkToFit="false"/>
      <protection locked="true" hidden="true"/>
    </xf>
    <xf numFmtId="164" fontId="0" fillId="8" borderId="2" xfId="0" applyFont="false" applyBorder="true" applyAlignment="false" applyProtection="true">
      <alignment horizontal="general" vertical="bottom" textRotation="0" wrapText="false" indent="0" shrinkToFit="false"/>
      <protection locked="true" hidden="true"/>
    </xf>
    <xf numFmtId="164" fontId="0" fillId="0" borderId="2" xfId="0" applyFont="true" applyBorder="true" applyAlignment="false" applyProtection="true">
      <alignment horizontal="general" vertical="bottom" textRotation="0" wrapText="false" indent="0" shrinkToFit="false"/>
      <protection locked="false" hidden="false"/>
    </xf>
    <xf numFmtId="164" fontId="0" fillId="0" borderId="2" xfId="0" applyFont="true" applyBorder="true" applyAlignment="true" applyProtection="true">
      <alignment horizontal="left" vertical="bottom" textRotation="0" wrapText="true" indent="0" shrinkToFit="false"/>
      <protection locked="false" hidden="false"/>
    </xf>
    <xf numFmtId="164" fontId="0" fillId="0" borderId="20" xfId="0" applyFont="true" applyBorder="true" applyAlignment="true" applyProtection="true">
      <alignment horizontal="left" vertical="bottom" textRotation="0" wrapText="true" indent="0" shrinkToFit="false"/>
      <protection locked="false" hidden="false"/>
    </xf>
    <xf numFmtId="167" fontId="0" fillId="0" borderId="2" xfId="0" applyFont="false" applyBorder="true" applyAlignment="false" applyProtection="true">
      <alignment horizontal="general" vertical="bottom" textRotation="0" wrapText="false" indent="0" shrinkToFit="false"/>
      <protection locked="false" hidden="false"/>
    </xf>
    <xf numFmtId="167" fontId="0" fillId="8" borderId="2" xfId="0" applyFont="false" applyBorder="true" applyAlignment="true" applyProtection="true">
      <alignment horizontal="center" vertical="bottom" textRotation="0" wrapText="false" indent="0" shrinkToFit="false"/>
      <protection locked="true" hidden="true"/>
    </xf>
    <xf numFmtId="164" fontId="0" fillId="4" borderId="2" xfId="0" applyFont="true" applyBorder="true" applyAlignment="true" applyProtection="true">
      <alignment horizontal="center" vertical="bottom" textRotation="0" wrapText="false" indent="0" shrinkToFit="false"/>
      <protection locked="false" hidden="false"/>
    </xf>
    <xf numFmtId="164" fontId="0" fillId="0" borderId="12" xfId="0" applyFont="false" applyBorder="true" applyAlignment="true" applyProtection="true">
      <alignment horizontal="left" vertical="bottom" textRotation="0" wrapText="true" indent="0" shrinkToFit="false"/>
      <protection locked="fals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Moeda 2" xfId="20"/>
    <cellStyle name="Porcentagem 2" xfId="21"/>
  </cellStyles>
  <dxfs count="3">
    <dxf>
      <fill>
        <patternFill patternType="solid">
          <bgColor rgb="FF000000"/>
        </patternFill>
      </fill>
    </dxf>
    <dxf>
      <fill>
        <patternFill patternType="solid">
          <fgColor rgb="FF000000"/>
          <bgColor rgb="FF000000"/>
        </patternFill>
      </fill>
    </dxf>
    <dxf>
      <font>
        <b val="1"/>
        <color rgb="FFFFFFFF"/>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CE1"/>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o Office">
  <a:themeElements>
    <a:clrScheme name="Escritório">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M385"/>
  <sheetViews>
    <sheetView showFormulas="false" showGridLines="false" showRowColHeaders="true" showZeros="true" rightToLeft="false" tabSelected="true" showOutlineSymbols="true" defaultGridColor="true" view="normal" topLeftCell="A4" colorId="64" zoomScale="65" zoomScaleNormal="65" zoomScalePageLayoutView="100" workbookViewId="0">
      <selection pane="topLeft" activeCell="B31" activeCellId="0" sqref="B31"/>
    </sheetView>
  </sheetViews>
  <sheetFormatPr defaultColWidth="26.42578125" defaultRowHeight="15" customHeight="false" zeroHeight="true" outlineLevelRow="0" outlineLevelCol="0"/>
  <cols>
    <col collapsed="false" customWidth="true" hidden="false" outlineLevel="0" max="1" min="1" style="1" width="7"/>
    <col collapsed="false" customWidth="true" hidden="false" outlineLevel="0" max="2" min="2" style="1" width="19.86"/>
    <col collapsed="false" customWidth="true" hidden="false" outlineLevel="0" max="4" min="3" style="1" width="54.14"/>
    <col collapsed="false" customWidth="true" hidden="false" outlineLevel="0" max="5" min="5" style="1" width="25.85"/>
    <col collapsed="false" customWidth="true" hidden="false" outlineLevel="0" max="6" min="6" style="1" width="25.71"/>
    <col collapsed="false" customWidth="true" hidden="false" outlineLevel="0" max="7" min="7" style="1" width="16.85"/>
    <col collapsed="false" customWidth="true" hidden="false" outlineLevel="0" max="8" min="8" style="1" width="32.42"/>
    <col collapsed="false" customWidth="true" hidden="false" outlineLevel="0" max="9" min="9" style="1" width="42.57"/>
    <col collapsed="false" customWidth="true" hidden="false" outlineLevel="0" max="10" min="10" style="1" width="24"/>
    <col collapsed="false" customWidth="true" hidden="false" outlineLevel="0" max="11" min="11" style="1" width="20.29"/>
    <col collapsed="false" customWidth="true" hidden="false" outlineLevel="0" max="12" min="12" style="2" width="18.14"/>
    <col collapsed="false" customWidth="true" hidden="false" outlineLevel="0" max="13" min="13" style="1" width="76.86"/>
    <col collapsed="false" customWidth="false" hidden="true" outlineLevel="0" max="16384" min="14" style="1" width="26.42"/>
  </cols>
  <sheetData>
    <row r="1" s="1" customFormat="true" ht="15.75" hidden="false" customHeight="true" outlineLevel="0" collapsed="false">
      <c r="C1" s="3" t="s">
        <v>0</v>
      </c>
      <c r="D1" s="3"/>
    </row>
    <row r="2" s="1" customFormat="true" ht="15.75" hidden="false" customHeight="true" outlineLevel="0" collapsed="false">
      <c r="C2" s="3" t="s">
        <v>1</v>
      </c>
      <c r="D2" s="3"/>
    </row>
    <row r="3" s="1" customFormat="true" ht="15.75" hidden="false" customHeight="true" outlineLevel="0" collapsed="false">
      <c r="C3" s="3" t="s">
        <v>2</v>
      </c>
      <c r="D3" s="3"/>
    </row>
    <row r="4" s="1" customFormat="true" ht="15.75" hidden="false" customHeight="true" outlineLevel="0" collapsed="false">
      <c r="C4" s="4" t="s">
        <v>3</v>
      </c>
      <c r="D4" s="4"/>
    </row>
    <row r="5" s="1" customFormat="true" ht="15.75" hidden="false" customHeight="true" outlineLevel="0" collapsed="false">
      <c r="C5" s="3" t="s">
        <v>4</v>
      </c>
      <c r="D5" s="3"/>
    </row>
    <row r="6" s="1" customFormat="true" ht="15.75" hidden="false" customHeight="true" outlineLevel="0" collapsed="false"/>
    <row r="7" customFormat="false" ht="30" hidden="false" customHeight="true" outlineLevel="0" collapsed="false">
      <c r="A7" s="5" t="s">
        <v>5</v>
      </c>
      <c r="B7" s="5"/>
      <c r="C7" s="6" t="s">
        <v>6</v>
      </c>
      <c r="D7" s="6"/>
      <c r="E7" s="6"/>
      <c r="F7" s="6"/>
      <c r="H7" s="7" t="s">
        <v>7</v>
      </c>
      <c r="I7" s="7"/>
      <c r="J7" s="7"/>
      <c r="K7" s="7"/>
      <c r="L7" s="7"/>
    </row>
    <row r="8" s="1" customFormat="true" ht="9.75" hidden="false" customHeight="true" outlineLevel="0" collapsed="false">
      <c r="A8" s="8"/>
      <c r="B8" s="8"/>
    </row>
    <row r="9" customFormat="false" ht="30" hidden="false" customHeight="true" outlineLevel="0" collapsed="false">
      <c r="A9" s="9" t="s">
        <v>8</v>
      </c>
      <c r="B9" s="9"/>
      <c r="C9" s="6" t="s">
        <v>9</v>
      </c>
      <c r="D9" s="6"/>
      <c r="E9" s="6"/>
      <c r="F9" s="6"/>
      <c r="H9" s="7" t="s">
        <v>10</v>
      </c>
      <c r="I9" s="7"/>
      <c r="J9" s="7"/>
      <c r="K9" s="7"/>
      <c r="L9" s="7"/>
    </row>
    <row r="10" s="1" customFormat="true" ht="15" hidden="false" customHeight="false" outlineLevel="0" collapsed="false"/>
    <row r="11" customFormat="false" ht="15.75" hidden="false" customHeight="true" outlineLevel="0" collapsed="false">
      <c r="A11" s="10" t="s">
        <v>11</v>
      </c>
      <c r="B11" s="10"/>
      <c r="C11" s="10"/>
      <c r="D11" s="10"/>
      <c r="E11" s="10"/>
      <c r="F11" s="10"/>
      <c r="G11" s="10"/>
      <c r="H11" s="10"/>
      <c r="I11" s="10"/>
      <c r="J11" s="10"/>
      <c r="K11" s="10"/>
      <c r="L11" s="10"/>
      <c r="M11" s="10"/>
    </row>
    <row r="12" customFormat="false" ht="16.5" hidden="false" customHeight="true" outlineLevel="0" collapsed="false">
      <c r="A12" s="11" t="s">
        <v>12</v>
      </c>
      <c r="B12" s="11"/>
      <c r="C12" s="11"/>
      <c r="D12" s="11"/>
      <c r="E12" s="11"/>
      <c r="F12" s="12" t="s">
        <v>13</v>
      </c>
      <c r="G12" s="13" t="s">
        <v>14</v>
      </c>
      <c r="H12" s="13"/>
      <c r="I12" s="14"/>
      <c r="J12" s="15" t="s">
        <v>15</v>
      </c>
      <c r="K12" s="15"/>
      <c r="L12" s="15"/>
      <c r="M12" s="15"/>
    </row>
    <row r="13" customFormat="false" ht="15" hidden="false" customHeight="false" outlineLevel="0" collapsed="false">
      <c r="A13" s="16" t="s">
        <v>16</v>
      </c>
      <c r="B13" s="16"/>
      <c r="C13" s="16"/>
      <c r="D13" s="16"/>
      <c r="E13" s="17" t="n">
        <f aca="false">IF(F13=0,0%,F13/$E$15)</f>
        <v>0.137</v>
      </c>
      <c r="F13" s="18" t="n">
        <f aca="false">SUMIFS(L21:L385,G21:G385,"Proponente",M21:M385,"FAC")+SUMIFS(L21:L385,G21:G385,"Proponente",M21:M385,"Recursos provenientes de cobrança de ingressos")</f>
        <v>27400</v>
      </c>
      <c r="G13" s="19" t="s">
        <v>17</v>
      </c>
      <c r="H13" s="13"/>
      <c r="I13" s="14"/>
      <c r="J13" s="20" t="s">
        <v>18</v>
      </c>
      <c r="K13" s="20"/>
      <c r="L13" s="21" t="n">
        <f aca="false">IF(M13=0,0%,M13/$E$15)</f>
        <v>0</v>
      </c>
      <c r="M13" s="22" t="n">
        <f aca="false">SUMIFS($L$21:$L$385,$M$21:$M$385,"FAC",$H$21:$H$385,J13)</f>
        <v>0</v>
      </c>
    </row>
    <row r="14" customFormat="false" ht="15.75" hidden="false" customHeight="true" outlineLevel="0" collapsed="false">
      <c r="A14" s="23" t="s">
        <v>19</v>
      </c>
      <c r="B14" s="23"/>
      <c r="C14" s="23"/>
      <c r="D14" s="23"/>
      <c r="E14" s="17" t="n">
        <f aca="false">IF(F14=0,0%,F14/$E$15)</f>
        <v>0.863</v>
      </c>
      <c r="F14" s="24" t="n">
        <f aca="false">SUMIFS(L21:L385,G21:G385,"Terceiros",M21:M385,"FAC")</f>
        <v>172600</v>
      </c>
      <c r="G14" s="25" t="s">
        <v>20</v>
      </c>
      <c r="H14" s="26"/>
      <c r="I14" s="27"/>
      <c r="J14" s="20" t="s">
        <v>21</v>
      </c>
      <c r="K14" s="20"/>
      <c r="L14" s="21" t="n">
        <f aca="false">IF(M14=0,0%,M14/$E$15)</f>
        <v>0.09</v>
      </c>
      <c r="M14" s="22" t="n">
        <f aca="false">SUMIFS($L$21:$L$385,$M$21:$M$385,"FAC",$H$21:$H$385,J14)</f>
        <v>18000</v>
      </c>
    </row>
    <row r="15" customFormat="false" ht="15.75" hidden="false" customHeight="true" outlineLevel="0" collapsed="false">
      <c r="A15" s="28" t="s">
        <v>22</v>
      </c>
      <c r="B15" s="28"/>
      <c r="C15" s="28"/>
      <c r="D15" s="28"/>
      <c r="E15" s="29" t="n">
        <f aca="false">SUMIF(M21:M385,"FAC",L21:L385)</f>
        <v>200000</v>
      </c>
      <c r="F15" s="29"/>
      <c r="G15" s="19" t="s">
        <v>23</v>
      </c>
      <c r="H15" s="13"/>
      <c r="I15" s="14"/>
      <c r="J15" s="20" t="s">
        <v>24</v>
      </c>
      <c r="K15" s="20"/>
      <c r="L15" s="21" t="n">
        <f aca="false">IF(M15=0,0%,M15/$E$15)</f>
        <v>0.1</v>
      </c>
      <c r="M15" s="22" t="n">
        <f aca="false">SUMIFS($L$21:$L$385,$M$21:$M$385,"FAC",$H$21:$H$385,J15)</f>
        <v>20000</v>
      </c>
    </row>
    <row r="16" customFormat="false" ht="22.5" hidden="false" customHeight="true" outlineLevel="0" collapsed="false">
      <c r="A16" s="30" t="s">
        <v>25</v>
      </c>
      <c r="B16" s="30"/>
      <c r="C16" s="30"/>
      <c r="D16" s="30"/>
      <c r="E16" s="31" t="n">
        <f aca="false">SUMIF(M21:M385,"Recursos provenientes de cobrança de ingressos",L21:L385)</f>
        <v>0</v>
      </c>
      <c r="F16" s="31"/>
      <c r="G16" s="19" t="s">
        <v>26</v>
      </c>
      <c r="H16" s="13"/>
      <c r="I16" s="14"/>
      <c r="J16" s="20" t="s">
        <v>27</v>
      </c>
      <c r="K16" s="20"/>
      <c r="L16" s="21" t="n">
        <f aca="false">IF(M16=0,0%,M16/$E$15)</f>
        <v>0.593</v>
      </c>
      <c r="M16" s="22" t="n">
        <f aca="false">SUMIFS($L$21:$L$385,$M$21:$M$385,"FAC",$H$21:$H$385,J16)</f>
        <v>118600</v>
      </c>
    </row>
    <row r="17" customFormat="false" ht="23.25" hidden="false" customHeight="true" outlineLevel="0" collapsed="false">
      <c r="A17" s="32" t="s">
        <v>28</v>
      </c>
      <c r="B17" s="32"/>
      <c r="C17" s="32"/>
      <c r="D17" s="32"/>
      <c r="E17" s="33" t="n">
        <f aca="false">SUMIF(M21:M385,"Recursos financeiros de outras fontes",L21:L385)</f>
        <v>0</v>
      </c>
      <c r="F17" s="33"/>
      <c r="G17" s="34" t="s">
        <v>29</v>
      </c>
      <c r="H17" s="35"/>
      <c r="I17" s="36"/>
      <c r="J17" s="37" t="s">
        <v>30</v>
      </c>
      <c r="K17" s="37"/>
      <c r="L17" s="37"/>
      <c r="M17" s="38" t="n">
        <f aca="false">SUM(M13:M16)</f>
        <v>156600</v>
      </c>
    </row>
    <row r="18" customFormat="false" ht="15.75" hidden="false" customHeight="true" outlineLevel="0" collapsed="false">
      <c r="A18" s="39" t="s">
        <v>31</v>
      </c>
      <c r="B18" s="39"/>
      <c r="C18" s="39"/>
      <c r="D18" s="39"/>
      <c r="E18" s="39"/>
      <c r="F18" s="39"/>
      <c r="G18" s="39"/>
      <c r="H18" s="39"/>
      <c r="I18" s="39"/>
      <c r="J18" s="39"/>
      <c r="K18" s="39"/>
      <c r="L18" s="39"/>
      <c r="M18" s="39"/>
    </row>
    <row r="19" customFormat="false" ht="195.75" hidden="false" customHeight="true" outlineLevel="0" collapsed="false">
      <c r="A19" s="40"/>
      <c r="B19" s="41" t="s">
        <v>32</v>
      </c>
      <c r="C19" s="41" t="s">
        <v>33</v>
      </c>
      <c r="D19" s="42" t="s">
        <v>34</v>
      </c>
      <c r="E19" s="41" t="s">
        <v>35</v>
      </c>
      <c r="F19" s="41"/>
      <c r="G19" s="41" t="s">
        <v>36</v>
      </c>
      <c r="H19" s="41" t="s">
        <v>37</v>
      </c>
      <c r="I19" s="41" t="s">
        <v>38</v>
      </c>
      <c r="J19" s="41" t="s">
        <v>39</v>
      </c>
      <c r="K19" s="43" t="s">
        <v>40</v>
      </c>
      <c r="L19" s="41" t="s">
        <v>41</v>
      </c>
      <c r="M19" s="41" t="s">
        <v>42</v>
      </c>
    </row>
    <row r="20" customFormat="false" ht="34.5" hidden="false" customHeight="true" outlineLevel="0" collapsed="false">
      <c r="A20" s="40" t="s">
        <v>43</v>
      </c>
      <c r="B20" s="44" t="s">
        <v>44</v>
      </c>
      <c r="C20" s="44" t="s">
        <v>45</v>
      </c>
      <c r="D20" s="45" t="s">
        <v>46</v>
      </c>
      <c r="E20" s="44" t="s">
        <v>47</v>
      </c>
      <c r="F20" s="44"/>
      <c r="G20" s="44" t="s">
        <v>48</v>
      </c>
      <c r="H20" s="44" t="s">
        <v>49</v>
      </c>
      <c r="I20" s="44" t="s">
        <v>50</v>
      </c>
      <c r="J20" s="44" t="s">
        <v>51</v>
      </c>
      <c r="K20" s="46" t="s">
        <v>52</v>
      </c>
      <c r="L20" s="44" t="s">
        <v>53</v>
      </c>
      <c r="M20" s="44" t="s">
        <v>54</v>
      </c>
    </row>
    <row r="21" customFormat="false" ht="35.05" hidden="false" customHeight="true" outlineLevel="0" collapsed="false">
      <c r="A21" s="47" t="n">
        <v>1</v>
      </c>
      <c r="B21" s="48" t="s">
        <v>55</v>
      </c>
      <c r="C21" s="49" t="s">
        <v>56</v>
      </c>
      <c r="D21" s="50" t="s">
        <v>57</v>
      </c>
      <c r="E21" s="49" t="s">
        <v>58</v>
      </c>
      <c r="F21" s="49"/>
      <c r="G21" s="48" t="s">
        <v>59</v>
      </c>
      <c r="H21" s="48" t="s">
        <v>27</v>
      </c>
      <c r="I21" s="48" t="s">
        <v>60</v>
      </c>
      <c r="J21" s="48" t="n">
        <v>1</v>
      </c>
      <c r="K21" s="51" t="n">
        <v>9000</v>
      </c>
      <c r="L21" s="52" t="n">
        <f aca="false">IFERROR(J21*K21,"")</f>
        <v>9000</v>
      </c>
      <c r="M21" s="53" t="s">
        <v>61</v>
      </c>
    </row>
    <row r="22" customFormat="false" ht="35.05" hidden="false" customHeight="true" outlineLevel="0" collapsed="false">
      <c r="A22" s="47" t="n">
        <f aca="false">IF(B22="","",A21+1)</f>
        <v>2</v>
      </c>
      <c r="B22" s="48" t="s">
        <v>55</v>
      </c>
      <c r="C22" s="49" t="s">
        <v>62</v>
      </c>
      <c r="D22" s="50" t="s">
        <v>63</v>
      </c>
      <c r="E22" s="49" t="s">
        <v>64</v>
      </c>
      <c r="F22" s="49"/>
      <c r="G22" s="48" t="s">
        <v>65</v>
      </c>
      <c r="H22" s="48" t="s">
        <v>27</v>
      </c>
      <c r="I22" s="48" t="s">
        <v>60</v>
      </c>
      <c r="J22" s="48" t="n">
        <v>1</v>
      </c>
      <c r="K22" s="51" t="n">
        <v>7000</v>
      </c>
      <c r="L22" s="52" t="n">
        <f aca="false">IFERROR(J22*K22,"")</f>
        <v>7000</v>
      </c>
      <c r="M22" s="53" t="s">
        <v>61</v>
      </c>
    </row>
    <row r="23" customFormat="false" ht="46.25" hidden="false" customHeight="false" outlineLevel="0" collapsed="false">
      <c r="A23" s="47" t="n">
        <f aca="false">IF(B23="","",A22+1)</f>
        <v>3</v>
      </c>
      <c r="B23" s="48" t="s">
        <v>55</v>
      </c>
      <c r="C23" s="49" t="s">
        <v>66</v>
      </c>
      <c r="D23" s="50" t="s">
        <v>67</v>
      </c>
      <c r="E23" s="50" t="s">
        <v>68</v>
      </c>
      <c r="F23" s="54"/>
      <c r="G23" s="48" t="s">
        <v>65</v>
      </c>
      <c r="H23" s="48" t="s">
        <v>27</v>
      </c>
      <c r="I23" s="48" t="s">
        <v>60</v>
      </c>
      <c r="J23" s="48" t="n">
        <v>1</v>
      </c>
      <c r="K23" s="51" t="n">
        <v>8000</v>
      </c>
      <c r="L23" s="52" t="n">
        <f aca="false">IFERROR(J23*K23,"")</f>
        <v>8000</v>
      </c>
      <c r="M23" s="53" t="s">
        <v>61</v>
      </c>
    </row>
    <row r="24" customFormat="false" ht="46.25" hidden="false" customHeight="false" outlineLevel="0" collapsed="false">
      <c r="A24" s="47" t="n">
        <f aca="false">IF(B24="","",A23+1)</f>
        <v>4</v>
      </c>
      <c r="B24" s="48" t="s">
        <v>55</v>
      </c>
      <c r="C24" s="49" t="s">
        <v>69</v>
      </c>
      <c r="D24" s="50" t="s">
        <v>70</v>
      </c>
      <c r="E24" s="50" t="s">
        <v>71</v>
      </c>
      <c r="F24" s="54"/>
      <c r="G24" s="48" t="s">
        <v>65</v>
      </c>
      <c r="H24" s="48" t="s">
        <v>27</v>
      </c>
      <c r="I24" s="48" t="s">
        <v>60</v>
      </c>
      <c r="J24" s="48" t="n">
        <v>1</v>
      </c>
      <c r="K24" s="51" t="n">
        <v>4000</v>
      </c>
      <c r="L24" s="52" t="n">
        <f aca="false">IFERROR(J24*K24,"")</f>
        <v>4000</v>
      </c>
      <c r="M24" s="53" t="s">
        <v>61</v>
      </c>
    </row>
    <row r="25" customFormat="false" ht="35.05" hidden="false" customHeight="false" outlineLevel="0" collapsed="false">
      <c r="A25" s="47" t="n">
        <f aca="false">IF(B25="","",A24+1)</f>
        <v>5</v>
      </c>
      <c r="B25" s="48" t="s">
        <v>55</v>
      </c>
      <c r="C25" s="49" t="s">
        <v>72</v>
      </c>
      <c r="D25" s="50" t="s">
        <v>73</v>
      </c>
      <c r="E25" s="50" t="s">
        <v>74</v>
      </c>
      <c r="F25" s="54"/>
      <c r="G25" s="48" t="s">
        <v>65</v>
      </c>
      <c r="H25" s="48" t="s">
        <v>27</v>
      </c>
      <c r="I25" s="48" t="s">
        <v>60</v>
      </c>
      <c r="J25" s="48" t="n">
        <v>1</v>
      </c>
      <c r="K25" s="51" t="n">
        <v>3400</v>
      </c>
      <c r="L25" s="52" t="n">
        <f aca="false">IFERROR(J25*K25,"")</f>
        <v>3400</v>
      </c>
      <c r="M25" s="53" t="s">
        <v>61</v>
      </c>
    </row>
    <row r="26" customFormat="false" ht="46.25" hidden="false" customHeight="false" outlineLevel="0" collapsed="false">
      <c r="A26" s="47" t="n">
        <f aca="false">IF(B26="","",A25+1)</f>
        <v>6</v>
      </c>
      <c r="B26" s="48" t="s">
        <v>55</v>
      </c>
      <c r="C26" s="49" t="s">
        <v>75</v>
      </c>
      <c r="D26" s="50" t="s">
        <v>76</v>
      </c>
      <c r="E26" s="50" t="s">
        <v>77</v>
      </c>
      <c r="F26" s="54"/>
      <c r="G26" s="48" t="s">
        <v>65</v>
      </c>
      <c r="H26" s="48" t="s">
        <v>27</v>
      </c>
      <c r="I26" s="48" t="s">
        <v>60</v>
      </c>
      <c r="J26" s="48" t="n">
        <v>1</v>
      </c>
      <c r="K26" s="51" t="n">
        <v>8000</v>
      </c>
      <c r="L26" s="52" t="n">
        <f aca="false">IFERROR(J26*K26,"")</f>
        <v>8000</v>
      </c>
      <c r="M26" s="53" t="s">
        <v>61</v>
      </c>
    </row>
    <row r="27" customFormat="false" ht="46.25" hidden="false" customHeight="false" outlineLevel="0" collapsed="false">
      <c r="A27" s="47" t="n">
        <f aca="false">IF(B27="","",A26+1)</f>
        <v>7</v>
      </c>
      <c r="B27" s="48" t="s">
        <v>55</v>
      </c>
      <c r="C27" s="49" t="s">
        <v>78</v>
      </c>
      <c r="D27" s="50" t="s">
        <v>79</v>
      </c>
      <c r="E27" s="50" t="s">
        <v>80</v>
      </c>
      <c r="F27" s="54"/>
      <c r="G27" s="48" t="s">
        <v>65</v>
      </c>
      <c r="H27" s="48" t="s">
        <v>27</v>
      </c>
      <c r="I27" s="48" t="s">
        <v>60</v>
      </c>
      <c r="J27" s="48" t="n">
        <v>1</v>
      </c>
      <c r="K27" s="51" t="n">
        <v>6000</v>
      </c>
      <c r="L27" s="52" t="n">
        <f aca="false">IFERROR(J27*K27,"")</f>
        <v>6000</v>
      </c>
      <c r="M27" s="53" t="s">
        <v>61</v>
      </c>
    </row>
    <row r="28" customFormat="false" ht="35.05" hidden="false" customHeight="false" outlineLevel="0" collapsed="false">
      <c r="A28" s="47" t="n">
        <f aca="false">IF(B28="","",A27+1)</f>
        <v>8</v>
      </c>
      <c r="B28" s="48" t="s">
        <v>55</v>
      </c>
      <c r="C28" s="49" t="s">
        <v>81</v>
      </c>
      <c r="D28" s="50" t="s">
        <v>82</v>
      </c>
      <c r="E28" s="50" t="s">
        <v>83</v>
      </c>
      <c r="F28" s="54"/>
      <c r="G28" s="48" t="s">
        <v>65</v>
      </c>
      <c r="H28" s="48" t="s">
        <v>27</v>
      </c>
      <c r="I28" s="48" t="s">
        <v>84</v>
      </c>
      <c r="J28" s="48" t="n">
        <v>4</v>
      </c>
      <c r="K28" s="51" t="n">
        <v>1500</v>
      </c>
      <c r="L28" s="52" t="n">
        <f aca="false">IFERROR(J28*K28,"")</f>
        <v>6000</v>
      </c>
      <c r="M28" s="53" t="s">
        <v>61</v>
      </c>
    </row>
    <row r="29" customFormat="false" ht="46.25" hidden="false" customHeight="false" outlineLevel="0" collapsed="false">
      <c r="A29" s="47" t="n">
        <f aca="false">IF(B29="","",A28+1)</f>
        <v>9</v>
      </c>
      <c r="B29" s="48" t="s">
        <v>85</v>
      </c>
      <c r="C29" s="49" t="s">
        <v>86</v>
      </c>
      <c r="D29" s="50" t="s">
        <v>87</v>
      </c>
      <c r="E29" s="50" t="s">
        <v>88</v>
      </c>
      <c r="F29" s="54"/>
      <c r="G29" s="48" t="s">
        <v>59</v>
      </c>
      <c r="H29" s="48" t="s">
        <v>27</v>
      </c>
      <c r="I29" s="48" t="s">
        <v>89</v>
      </c>
      <c r="J29" s="48" t="n">
        <v>2</v>
      </c>
      <c r="K29" s="51" t="n">
        <v>5000</v>
      </c>
      <c r="L29" s="52" t="n">
        <f aca="false">IFERROR(J29*K29,"")</f>
        <v>10000</v>
      </c>
      <c r="M29" s="53" t="s">
        <v>61</v>
      </c>
    </row>
    <row r="30" customFormat="false" ht="46.25" hidden="false" customHeight="false" outlineLevel="0" collapsed="false">
      <c r="A30" s="47" t="n">
        <f aca="false">IF(B30="","",A29+1)</f>
        <v>10</v>
      </c>
      <c r="B30" s="48" t="s">
        <v>85</v>
      </c>
      <c r="C30" s="49" t="s">
        <v>90</v>
      </c>
      <c r="D30" s="50" t="s">
        <v>91</v>
      </c>
      <c r="E30" s="50" t="s">
        <v>92</v>
      </c>
      <c r="F30" s="54"/>
      <c r="G30" s="48" t="s">
        <v>65</v>
      </c>
      <c r="H30" s="48" t="s">
        <v>27</v>
      </c>
      <c r="I30" s="48" t="s">
        <v>60</v>
      </c>
      <c r="J30" s="48" t="n">
        <v>1</v>
      </c>
      <c r="K30" s="51" t="n">
        <v>8000</v>
      </c>
      <c r="L30" s="52" t="n">
        <f aca="false">IFERROR(J30*K30,"")</f>
        <v>8000</v>
      </c>
      <c r="M30" s="53" t="s">
        <v>61</v>
      </c>
    </row>
    <row r="31" customFormat="false" ht="46.25" hidden="false" customHeight="false" outlineLevel="0" collapsed="false">
      <c r="A31" s="47" t="n">
        <f aca="false">IF(B31="","",A30+1)</f>
        <v>11</v>
      </c>
      <c r="B31" s="48" t="s">
        <v>85</v>
      </c>
      <c r="C31" s="49" t="s">
        <v>93</v>
      </c>
      <c r="D31" s="50" t="s">
        <v>94</v>
      </c>
      <c r="E31" s="50" t="s">
        <v>95</v>
      </c>
      <c r="F31" s="54"/>
      <c r="G31" s="48" t="s">
        <v>65</v>
      </c>
      <c r="H31" s="48" t="s">
        <v>27</v>
      </c>
      <c r="I31" s="48" t="s">
        <v>89</v>
      </c>
      <c r="J31" s="48" t="n">
        <v>2</v>
      </c>
      <c r="K31" s="51" t="n">
        <v>2000</v>
      </c>
      <c r="L31" s="52" t="n">
        <f aca="false">IFERROR(J31*K31,"")</f>
        <v>4000</v>
      </c>
      <c r="M31" s="53" t="s">
        <v>61</v>
      </c>
    </row>
    <row r="32" customFormat="false" ht="46.25" hidden="false" customHeight="false" outlineLevel="0" collapsed="false">
      <c r="A32" s="47" t="n">
        <f aca="false">IF(B32="","",A31+1)</f>
        <v>12</v>
      </c>
      <c r="B32" s="48" t="s">
        <v>85</v>
      </c>
      <c r="C32" s="49" t="s">
        <v>96</v>
      </c>
      <c r="D32" s="50" t="s">
        <v>97</v>
      </c>
      <c r="E32" s="50" t="s">
        <v>98</v>
      </c>
      <c r="F32" s="54"/>
      <c r="G32" s="48" t="s">
        <v>65</v>
      </c>
      <c r="H32" s="48" t="s">
        <v>99</v>
      </c>
      <c r="I32" s="48" t="s">
        <v>60</v>
      </c>
      <c r="J32" s="48" t="n">
        <v>1</v>
      </c>
      <c r="K32" s="51" t="n">
        <v>12000</v>
      </c>
      <c r="L32" s="52" t="n">
        <f aca="false">IFERROR(J32*K32,"")</f>
        <v>12000</v>
      </c>
      <c r="M32" s="53" t="s">
        <v>61</v>
      </c>
    </row>
    <row r="33" customFormat="false" ht="23.85" hidden="false" customHeight="false" outlineLevel="0" collapsed="false">
      <c r="A33" s="47" t="n">
        <f aca="false">IF(B33="","",A32+1)</f>
        <v>13</v>
      </c>
      <c r="B33" s="48" t="s">
        <v>85</v>
      </c>
      <c r="C33" s="49" t="s">
        <v>100</v>
      </c>
      <c r="D33" s="50" t="s">
        <v>101</v>
      </c>
      <c r="E33" s="50" t="s">
        <v>102</v>
      </c>
      <c r="F33" s="54"/>
      <c r="G33" s="48" t="s">
        <v>65</v>
      </c>
      <c r="H33" s="48" t="s">
        <v>103</v>
      </c>
      <c r="I33" s="48" t="s">
        <v>84</v>
      </c>
      <c r="J33" s="48" t="n">
        <v>4</v>
      </c>
      <c r="K33" s="51" t="n">
        <v>800</v>
      </c>
      <c r="L33" s="52" t="n">
        <f aca="false">IFERROR(J33*K33,"")</f>
        <v>3200</v>
      </c>
      <c r="M33" s="53" t="s">
        <v>61</v>
      </c>
    </row>
    <row r="34" customFormat="false" ht="46.25" hidden="false" customHeight="false" outlineLevel="0" collapsed="false">
      <c r="A34" s="47" t="n">
        <f aca="false">IF(B34="","",A33+1)</f>
        <v>14</v>
      </c>
      <c r="B34" s="48" t="s">
        <v>85</v>
      </c>
      <c r="C34" s="49" t="s">
        <v>104</v>
      </c>
      <c r="D34" s="50" t="s">
        <v>105</v>
      </c>
      <c r="E34" s="50" t="s">
        <v>106</v>
      </c>
      <c r="F34" s="54"/>
      <c r="G34" s="48" t="s">
        <v>65</v>
      </c>
      <c r="H34" s="48" t="s">
        <v>107</v>
      </c>
      <c r="I34" s="48" t="s">
        <v>84</v>
      </c>
      <c r="J34" s="48" t="n">
        <v>3</v>
      </c>
      <c r="K34" s="51" t="n">
        <v>2200</v>
      </c>
      <c r="L34" s="52" t="n">
        <f aca="false">IFERROR(J34*K34,"")</f>
        <v>6600</v>
      </c>
      <c r="M34" s="53" t="s">
        <v>61</v>
      </c>
    </row>
    <row r="35" customFormat="false" ht="35.05" hidden="false" customHeight="false" outlineLevel="0" collapsed="false">
      <c r="A35" s="47" t="n">
        <f aca="false">IF(B35="","",A34+1)</f>
        <v>15</v>
      </c>
      <c r="B35" s="48" t="s">
        <v>85</v>
      </c>
      <c r="C35" s="49" t="s">
        <v>108</v>
      </c>
      <c r="D35" s="50" t="s">
        <v>109</v>
      </c>
      <c r="E35" s="50" t="s">
        <v>110</v>
      </c>
      <c r="F35" s="54"/>
      <c r="G35" s="48" t="s">
        <v>65</v>
      </c>
      <c r="H35" s="48" t="s">
        <v>107</v>
      </c>
      <c r="I35" s="48" t="s">
        <v>111</v>
      </c>
      <c r="J35" s="48" t="n">
        <v>6</v>
      </c>
      <c r="K35" s="51" t="n">
        <v>900</v>
      </c>
      <c r="L35" s="52" t="n">
        <f aca="false">IFERROR(J35*K35,"")</f>
        <v>5400</v>
      </c>
      <c r="M35" s="53" t="s">
        <v>61</v>
      </c>
    </row>
    <row r="36" customFormat="false" ht="35.05" hidden="false" customHeight="false" outlineLevel="0" collapsed="false">
      <c r="A36" s="47" t="n">
        <f aca="false">IF(B36="","",A35+1)</f>
        <v>16</v>
      </c>
      <c r="B36" s="48" t="s">
        <v>85</v>
      </c>
      <c r="C36" s="49" t="s">
        <v>112</v>
      </c>
      <c r="D36" s="50" t="s">
        <v>113</v>
      </c>
      <c r="E36" s="50" t="s">
        <v>114</v>
      </c>
      <c r="F36" s="54"/>
      <c r="G36" s="48" t="s">
        <v>65</v>
      </c>
      <c r="H36" s="48" t="s">
        <v>107</v>
      </c>
      <c r="I36" s="48" t="s">
        <v>111</v>
      </c>
      <c r="J36" s="48" t="n">
        <v>6</v>
      </c>
      <c r="K36" s="51" t="n">
        <v>700</v>
      </c>
      <c r="L36" s="52" t="n">
        <f aca="false">IFERROR(J36*K36,"")</f>
        <v>4200</v>
      </c>
      <c r="M36" s="53" t="s">
        <v>61</v>
      </c>
    </row>
    <row r="37" customFormat="false" ht="35.05" hidden="false" customHeight="false" outlineLevel="0" collapsed="false">
      <c r="A37" s="47" t="n">
        <f aca="false">IF(B37="","",A36+1)</f>
        <v>17</v>
      </c>
      <c r="B37" s="48" t="s">
        <v>85</v>
      </c>
      <c r="C37" s="49" t="s">
        <v>115</v>
      </c>
      <c r="D37" s="50" t="s">
        <v>116</v>
      </c>
      <c r="E37" s="50" t="s">
        <v>117</v>
      </c>
      <c r="F37" s="54"/>
      <c r="G37" s="48" t="s">
        <v>59</v>
      </c>
      <c r="H37" s="48" t="s">
        <v>27</v>
      </c>
      <c r="I37" s="48" t="s">
        <v>111</v>
      </c>
      <c r="J37" s="48" t="n">
        <v>6</v>
      </c>
      <c r="K37" s="51" t="n">
        <v>1400</v>
      </c>
      <c r="L37" s="52" t="n">
        <f aca="false">IFERROR(J37*K37,"")</f>
        <v>8400</v>
      </c>
      <c r="M37" s="53" t="s">
        <v>61</v>
      </c>
    </row>
    <row r="38" customFormat="false" ht="23.85" hidden="false" customHeight="false" outlineLevel="0" collapsed="false">
      <c r="A38" s="47" t="n">
        <f aca="false">IF(B38="","",A37+1)</f>
        <v>18</v>
      </c>
      <c r="B38" s="48" t="s">
        <v>85</v>
      </c>
      <c r="C38" s="49" t="s">
        <v>118</v>
      </c>
      <c r="D38" s="50" t="s">
        <v>119</v>
      </c>
      <c r="E38" s="50" t="s">
        <v>120</v>
      </c>
      <c r="F38" s="54"/>
      <c r="G38" s="48" t="s">
        <v>65</v>
      </c>
      <c r="H38" s="48" t="s">
        <v>27</v>
      </c>
      <c r="I38" s="48" t="s">
        <v>111</v>
      </c>
      <c r="J38" s="48" t="n">
        <v>6</v>
      </c>
      <c r="K38" s="51" t="n">
        <v>700</v>
      </c>
      <c r="L38" s="52" t="n">
        <f aca="false">IFERROR(J38*K38,"")</f>
        <v>4200</v>
      </c>
      <c r="M38" s="53" t="s">
        <v>61</v>
      </c>
    </row>
    <row r="39" customFormat="false" ht="35.05" hidden="false" customHeight="false" outlineLevel="0" collapsed="false">
      <c r="A39" s="47" t="n">
        <f aca="false">IF(B39="","",A38+1)</f>
        <v>19</v>
      </c>
      <c r="B39" s="48" t="s">
        <v>85</v>
      </c>
      <c r="C39" s="49" t="s">
        <v>121</v>
      </c>
      <c r="D39" s="50" t="s">
        <v>122</v>
      </c>
      <c r="E39" s="50" t="s">
        <v>123</v>
      </c>
      <c r="F39" s="54"/>
      <c r="G39" s="48" t="s">
        <v>65</v>
      </c>
      <c r="H39" s="48" t="s">
        <v>103</v>
      </c>
      <c r="I39" s="48" t="s">
        <v>111</v>
      </c>
      <c r="J39" s="48" t="n">
        <v>6</v>
      </c>
      <c r="K39" s="51" t="n">
        <v>1600</v>
      </c>
      <c r="L39" s="52" t="n">
        <f aca="false">IFERROR(J39*K39,"")</f>
        <v>9600</v>
      </c>
      <c r="M39" s="53" t="s">
        <v>61</v>
      </c>
    </row>
    <row r="40" customFormat="false" ht="35.05" hidden="false" customHeight="false" outlineLevel="0" collapsed="false">
      <c r="A40" s="47" t="n">
        <f aca="false">IF(B40="","",A39+1)</f>
        <v>20</v>
      </c>
      <c r="B40" s="48" t="s">
        <v>85</v>
      </c>
      <c r="C40" s="49" t="s">
        <v>124</v>
      </c>
      <c r="D40" s="50" t="s">
        <v>125</v>
      </c>
      <c r="E40" s="50" t="s">
        <v>126</v>
      </c>
      <c r="F40" s="54"/>
      <c r="G40" s="48" t="s">
        <v>65</v>
      </c>
      <c r="H40" s="48" t="s">
        <v>27</v>
      </c>
      <c r="I40" s="48" t="s">
        <v>111</v>
      </c>
      <c r="J40" s="48" t="n">
        <v>6</v>
      </c>
      <c r="K40" s="51" t="n">
        <v>600</v>
      </c>
      <c r="L40" s="52" t="n">
        <f aca="false">IFERROR(J40*K40,"")</f>
        <v>3600</v>
      </c>
      <c r="M40" s="53" t="s">
        <v>61</v>
      </c>
    </row>
    <row r="41" customFormat="false" ht="35.05" hidden="false" customHeight="false" outlineLevel="0" collapsed="false">
      <c r="A41" s="47" t="n">
        <f aca="false">IF(B41="","",A40+1)</f>
        <v>21</v>
      </c>
      <c r="B41" s="48" t="s">
        <v>85</v>
      </c>
      <c r="C41" s="49" t="s">
        <v>127</v>
      </c>
      <c r="D41" s="50" t="s">
        <v>128</v>
      </c>
      <c r="E41" s="50" t="s">
        <v>126</v>
      </c>
      <c r="F41" s="54"/>
      <c r="G41" s="48" t="s">
        <v>65</v>
      </c>
      <c r="H41" s="48" t="s">
        <v>27</v>
      </c>
      <c r="I41" s="48" t="s">
        <v>111</v>
      </c>
      <c r="J41" s="48" t="n">
        <v>6</v>
      </c>
      <c r="K41" s="51" t="n">
        <v>600</v>
      </c>
      <c r="L41" s="52" t="n">
        <f aca="false">IFERROR(J41*K41,"")</f>
        <v>3600</v>
      </c>
      <c r="M41" s="53" t="s">
        <v>61</v>
      </c>
    </row>
    <row r="42" customFormat="false" ht="46.25" hidden="false" customHeight="false" outlineLevel="0" collapsed="false">
      <c r="A42" s="47" t="n">
        <f aca="false">IF(B42="","",A41+1)</f>
        <v>22</v>
      </c>
      <c r="B42" s="48" t="s">
        <v>85</v>
      </c>
      <c r="C42" s="49" t="s">
        <v>129</v>
      </c>
      <c r="D42" s="50" t="s">
        <v>130</v>
      </c>
      <c r="E42" s="50" t="s">
        <v>131</v>
      </c>
      <c r="F42" s="54"/>
      <c r="G42" s="48" t="s">
        <v>65</v>
      </c>
      <c r="H42" s="48" t="s">
        <v>27</v>
      </c>
      <c r="I42" s="48" t="s">
        <v>111</v>
      </c>
      <c r="J42" s="48" t="n">
        <v>6</v>
      </c>
      <c r="K42" s="51" t="n">
        <v>600</v>
      </c>
      <c r="L42" s="52" t="n">
        <f aca="false">IFERROR(J42*K42,"")</f>
        <v>3600</v>
      </c>
      <c r="M42" s="53" t="s">
        <v>61</v>
      </c>
    </row>
    <row r="43" customFormat="false" ht="35.05" hidden="false" customHeight="false" outlineLevel="0" collapsed="false">
      <c r="A43" s="47" t="n">
        <f aca="false">IF(B43="","",A42+1)</f>
        <v>23</v>
      </c>
      <c r="B43" s="48" t="s">
        <v>85</v>
      </c>
      <c r="C43" s="49" t="s">
        <v>132</v>
      </c>
      <c r="D43" s="50" t="s">
        <v>133</v>
      </c>
      <c r="E43" s="50" t="s">
        <v>134</v>
      </c>
      <c r="F43" s="54"/>
      <c r="G43" s="48" t="s">
        <v>65</v>
      </c>
      <c r="H43" s="48" t="s">
        <v>135</v>
      </c>
      <c r="I43" s="48" t="s">
        <v>111</v>
      </c>
      <c r="J43" s="48" t="n">
        <v>6</v>
      </c>
      <c r="K43" s="51" t="n">
        <v>400</v>
      </c>
      <c r="L43" s="52" t="n">
        <f aca="false">IFERROR(J43*K43,"")</f>
        <v>2400</v>
      </c>
      <c r="M43" s="53" t="s">
        <v>61</v>
      </c>
    </row>
    <row r="44" customFormat="false" ht="35.05" hidden="false" customHeight="false" outlineLevel="0" collapsed="false">
      <c r="A44" s="47" t="n">
        <f aca="false">IF(B44="","",A43+1)</f>
        <v>24</v>
      </c>
      <c r="B44" s="48" t="s">
        <v>85</v>
      </c>
      <c r="C44" s="49" t="s">
        <v>136</v>
      </c>
      <c r="D44" s="50" t="s">
        <v>137</v>
      </c>
      <c r="E44" s="50" t="s">
        <v>138</v>
      </c>
      <c r="F44" s="54"/>
      <c r="G44" s="48" t="s">
        <v>65</v>
      </c>
      <c r="H44" s="48" t="s">
        <v>27</v>
      </c>
      <c r="I44" s="48" t="s">
        <v>111</v>
      </c>
      <c r="J44" s="48" t="n">
        <v>2</v>
      </c>
      <c r="K44" s="51" t="n">
        <v>700</v>
      </c>
      <c r="L44" s="52" t="n">
        <f aca="false">IFERROR(J44*K44,"")</f>
        <v>1400</v>
      </c>
      <c r="M44" s="53" t="s">
        <v>61</v>
      </c>
    </row>
    <row r="45" customFormat="false" ht="46.25" hidden="false" customHeight="false" outlineLevel="0" collapsed="false">
      <c r="A45" s="47" t="n">
        <f aca="false">IF(B45="","",A44+1)</f>
        <v>25</v>
      </c>
      <c r="B45" s="48" t="s">
        <v>85</v>
      </c>
      <c r="C45" s="49" t="s">
        <v>139</v>
      </c>
      <c r="D45" s="50" t="s">
        <v>140</v>
      </c>
      <c r="E45" s="50" t="s">
        <v>141</v>
      </c>
      <c r="F45" s="54"/>
      <c r="G45" s="48" t="s">
        <v>65</v>
      </c>
      <c r="H45" s="48" t="s">
        <v>27</v>
      </c>
      <c r="I45" s="48" t="s">
        <v>142</v>
      </c>
      <c r="J45" s="48" t="n">
        <v>1</v>
      </c>
      <c r="K45" s="51" t="n">
        <v>3500</v>
      </c>
      <c r="L45" s="52" t="n">
        <f aca="false">IFERROR(J45*K45,"")</f>
        <v>3500</v>
      </c>
      <c r="M45" s="53" t="s">
        <v>61</v>
      </c>
    </row>
    <row r="46" customFormat="false" ht="35.05" hidden="false" customHeight="false" outlineLevel="0" collapsed="false">
      <c r="A46" s="47" t="n">
        <f aca="false">IF(B46="","",A45+1)</f>
        <v>26</v>
      </c>
      <c r="B46" s="48" t="s">
        <v>143</v>
      </c>
      <c r="C46" s="49" t="s">
        <v>144</v>
      </c>
      <c r="D46" s="50" t="s">
        <v>145</v>
      </c>
      <c r="E46" s="50" t="s">
        <v>146</v>
      </c>
      <c r="F46" s="54"/>
      <c r="G46" s="48" t="s">
        <v>65</v>
      </c>
      <c r="H46" s="48" t="s">
        <v>21</v>
      </c>
      <c r="I46" s="48" t="s">
        <v>89</v>
      </c>
      <c r="J46" s="48" t="n">
        <v>4</v>
      </c>
      <c r="K46" s="51" t="n">
        <v>3000</v>
      </c>
      <c r="L46" s="52" t="n">
        <f aca="false">IFERROR(J46*K46,"")</f>
        <v>12000</v>
      </c>
      <c r="M46" s="53" t="s">
        <v>61</v>
      </c>
    </row>
    <row r="47" customFormat="false" ht="35.05" hidden="false" customHeight="false" outlineLevel="0" collapsed="false">
      <c r="A47" s="47" t="n">
        <f aca="false">IF(B47="","",A46+1)</f>
        <v>27</v>
      </c>
      <c r="B47" s="48" t="s">
        <v>143</v>
      </c>
      <c r="C47" s="49" t="s">
        <v>147</v>
      </c>
      <c r="D47" s="50" t="s">
        <v>148</v>
      </c>
      <c r="E47" s="50" t="s">
        <v>149</v>
      </c>
      <c r="F47" s="54"/>
      <c r="G47" s="48" t="s">
        <v>65</v>
      </c>
      <c r="H47" s="48" t="s">
        <v>21</v>
      </c>
      <c r="I47" s="48" t="s">
        <v>89</v>
      </c>
      <c r="J47" s="48" t="n">
        <v>4</v>
      </c>
      <c r="K47" s="51" t="n">
        <v>1500</v>
      </c>
      <c r="L47" s="52" t="n">
        <f aca="false">IFERROR(J47*K47,"")</f>
        <v>6000</v>
      </c>
      <c r="M47" s="53" t="s">
        <v>61</v>
      </c>
    </row>
    <row r="48" customFormat="false" ht="35.05" hidden="false" customHeight="false" outlineLevel="0" collapsed="false">
      <c r="A48" s="47" t="n">
        <f aca="false">IF(B48="","",A47+1)</f>
        <v>28</v>
      </c>
      <c r="B48" s="48" t="s">
        <v>143</v>
      </c>
      <c r="C48" s="49" t="s">
        <v>150</v>
      </c>
      <c r="D48" s="50" t="s">
        <v>151</v>
      </c>
      <c r="E48" s="50" t="s">
        <v>152</v>
      </c>
      <c r="F48" s="54"/>
      <c r="G48" s="48" t="s">
        <v>65</v>
      </c>
      <c r="H48" s="48" t="s">
        <v>27</v>
      </c>
      <c r="I48" s="48" t="s">
        <v>60</v>
      </c>
      <c r="J48" s="48" t="n">
        <v>1</v>
      </c>
      <c r="K48" s="51" t="n">
        <v>4000</v>
      </c>
      <c r="L48" s="52" t="n">
        <f aca="false">IFERROR(J48*K48,"")</f>
        <v>4000</v>
      </c>
      <c r="M48" s="53" t="s">
        <v>61</v>
      </c>
    </row>
    <row r="49" customFormat="false" ht="23.85" hidden="false" customHeight="false" outlineLevel="0" collapsed="false">
      <c r="A49" s="47" t="n">
        <f aca="false">IF(B49="","",A48+1)</f>
        <v>29</v>
      </c>
      <c r="B49" s="48" t="s">
        <v>143</v>
      </c>
      <c r="C49" s="49" t="s">
        <v>153</v>
      </c>
      <c r="D49" s="50" t="s">
        <v>154</v>
      </c>
      <c r="E49" s="50" t="s">
        <v>155</v>
      </c>
      <c r="F49" s="54"/>
      <c r="G49" s="48" t="s">
        <v>65</v>
      </c>
      <c r="H49" s="48" t="s">
        <v>27</v>
      </c>
      <c r="I49" s="48" t="s">
        <v>60</v>
      </c>
      <c r="J49" s="48" t="n">
        <v>1</v>
      </c>
      <c r="K49" s="51" t="n">
        <v>4000</v>
      </c>
      <c r="L49" s="52" t="n">
        <f aca="false">IFERROR(J49*K49,"")</f>
        <v>4000</v>
      </c>
      <c r="M49" s="53" t="s">
        <v>61</v>
      </c>
    </row>
    <row r="50" customFormat="false" ht="35.05" hidden="false" customHeight="false" outlineLevel="0" collapsed="false">
      <c r="A50" s="47" t="n">
        <f aca="false">IF(B50="","",A49+1)</f>
        <v>30</v>
      </c>
      <c r="B50" s="48" t="s">
        <v>143</v>
      </c>
      <c r="C50" s="49" t="s">
        <v>156</v>
      </c>
      <c r="D50" s="50" t="s">
        <v>157</v>
      </c>
      <c r="E50" s="50" t="s">
        <v>158</v>
      </c>
      <c r="F50" s="54"/>
      <c r="G50" s="48" t="s">
        <v>65</v>
      </c>
      <c r="H50" s="48" t="s">
        <v>27</v>
      </c>
      <c r="I50" s="48" t="s">
        <v>84</v>
      </c>
      <c r="J50" s="48" t="n">
        <v>3</v>
      </c>
      <c r="K50" s="51" t="n">
        <v>1500</v>
      </c>
      <c r="L50" s="52" t="n">
        <f aca="false">IFERROR(J50*K50,"")</f>
        <v>4500</v>
      </c>
      <c r="M50" s="53" t="s">
        <v>61</v>
      </c>
    </row>
    <row r="51" customFormat="false" ht="35.05" hidden="false" customHeight="false" outlineLevel="0" collapsed="false">
      <c r="A51" s="47" t="n">
        <f aca="false">IF(B51="","",A50+1)</f>
        <v>31</v>
      </c>
      <c r="B51" s="48" t="s">
        <v>143</v>
      </c>
      <c r="C51" s="49" t="s">
        <v>159</v>
      </c>
      <c r="D51" s="50" t="s">
        <v>160</v>
      </c>
      <c r="E51" s="50" t="s">
        <v>161</v>
      </c>
      <c r="F51" s="54"/>
      <c r="G51" s="48" t="s">
        <v>65</v>
      </c>
      <c r="H51" s="48" t="s">
        <v>27</v>
      </c>
      <c r="I51" s="48" t="s">
        <v>162</v>
      </c>
      <c r="J51" s="48" t="n">
        <v>4</v>
      </c>
      <c r="K51" s="51" t="n">
        <v>1100</v>
      </c>
      <c r="L51" s="52" t="n">
        <f aca="false">IFERROR(J51*K51,"")</f>
        <v>4400</v>
      </c>
      <c r="M51" s="53" t="s">
        <v>61</v>
      </c>
    </row>
    <row r="52" customFormat="false" ht="23.85" hidden="false" customHeight="false" outlineLevel="0" collapsed="false">
      <c r="A52" s="47" t="n">
        <f aca="false">IF(B52="","",A51+1)</f>
        <v>32</v>
      </c>
      <c r="B52" s="48" t="s">
        <v>143</v>
      </c>
      <c r="C52" s="49" t="s">
        <v>163</v>
      </c>
      <c r="D52" s="50" t="s">
        <v>164</v>
      </c>
      <c r="E52" s="50" t="s">
        <v>165</v>
      </c>
      <c r="F52" s="54"/>
      <c r="G52" s="48" t="s">
        <v>65</v>
      </c>
      <c r="H52" s="48" t="s">
        <v>24</v>
      </c>
      <c r="I52" s="48" t="s">
        <v>60</v>
      </c>
      <c r="J52" s="48" t="n">
        <v>1</v>
      </c>
      <c r="K52" s="51" t="n">
        <v>4000</v>
      </c>
      <c r="L52" s="52" t="n">
        <f aca="false">IFERROR(J52*K52,"")</f>
        <v>4000</v>
      </c>
      <c r="M52" s="53" t="s">
        <v>61</v>
      </c>
    </row>
    <row r="53" customFormat="false" ht="35.05" hidden="false" customHeight="false" outlineLevel="0" collapsed="false">
      <c r="A53" s="47" t="n">
        <f aca="false">IF(B53="","",A52+1)</f>
        <v>33</v>
      </c>
      <c r="B53" s="48" t="s">
        <v>143</v>
      </c>
      <c r="C53" s="49" t="s">
        <v>166</v>
      </c>
      <c r="D53" s="50" t="s">
        <v>167</v>
      </c>
      <c r="E53" s="50" t="s">
        <v>168</v>
      </c>
      <c r="F53" s="54"/>
      <c r="G53" s="48" t="s">
        <v>65</v>
      </c>
      <c r="H53" s="48" t="s">
        <v>24</v>
      </c>
      <c r="I53" s="48" t="s">
        <v>89</v>
      </c>
      <c r="J53" s="48" t="n">
        <v>3</v>
      </c>
      <c r="K53" s="51" t="n">
        <v>2000</v>
      </c>
      <c r="L53" s="52" t="n">
        <f aca="false">IFERROR(J53*K53,"")</f>
        <v>6000</v>
      </c>
      <c r="M53" s="53" t="s">
        <v>61</v>
      </c>
    </row>
    <row r="54" customFormat="false" ht="23.85" hidden="false" customHeight="false" outlineLevel="0" collapsed="false">
      <c r="A54" s="47" t="n">
        <f aca="false">IF(B54="","",A53+1)</f>
        <v>34</v>
      </c>
      <c r="B54" s="48" t="s">
        <v>143</v>
      </c>
      <c r="C54" s="49" t="s">
        <v>169</v>
      </c>
      <c r="D54" s="50" t="s">
        <v>170</v>
      </c>
      <c r="E54" s="50" t="s">
        <v>171</v>
      </c>
      <c r="F54" s="54"/>
      <c r="G54" s="48" t="s">
        <v>65</v>
      </c>
      <c r="H54" s="48" t="s">
        <v>24</v>
      </c>
      <c r="I54" s="48" t="s">
        <v>89</v>
      </c>
      <c r="J54" s="48" t="n">
        <v>3</v>
      </c>
      <c r="K54" s="51" t="n">
        <v>2500</v>
      </c>
      <c r="L54" s="52" t="n">
        <f aca="false">IFERROR(J54*K54,"")</f>
        <v>7500</v>
      </c>
      <c r="M54" s="53" t="s">
        <v>61</v>
      </c>
    </row>
    <row r="55" customFormat="false" ht="35.05" hidden="false" customHeight="false" outlineLevel="0" collapsed="false">
      <c r="A55" s="47" t="n">
        <f aca="false">IF(B55="","",A54+1)</f>
        <v>35</v>
      </c>
      <c r="B55" s="48" t="s">
        <v>143</v>
      </c>
      <c r="C55" s="49" t="s">
        <v>172</v>
      </c>
      <c r="D55" s="50" t="s">
        <v>173</v>
      </c>
      <c r="E55" s="50" t="s">
        <v>174</v>
      </c>
      <c r="F55" s="54"/>
      <c r="G55" s="48" t="s">
        <v>65</v>
      </c>
      <c r="H55" s="48" t="s">
        <v>24</v>
      </c>
      <c r="I55" s="48" t="s">
        <v>60</v>
      </c>
      <c r="J55" s="48" t="n">
        <v>1</v>
      </c>
      <c r="K55" s="51" t="n">
        <v>1500</v>
      </c>
      <c r="L55" s="52" t="n">
        <f aca="false">IFERROR(J55*K55,"")</f>
        <v>1500</v>
      </c>
      <c r="M55" s="53" t="s">
        <v>61</v>
      </c>
    </row>
    <row r="56" customFormat="false" ht="23.85" hidden="false" customHeight="false" outlineLevel="0" collapsed="false">
      <c r="A56" s="47" t="n">
        <f aca="false">IF(B56="","",A55+1)</f>
        <v>36</v>
      </c>
      <c r="B56" s="48" t="s">
        <v>143</v>
      </c>
      <c r="C56" s="49" t="s">
        <v>175</v>
      </c>
      <c r="D56" s="50" t="s">
        <v>176</v>
      </c>
      <c r="E56" s="50" t="s">
        <v>177</v>
      </c>
      <c r="F56" s="54"/>
      <c r="G56" s="48" t="s">
        <v>65</v>
      </c>
      <c r="H56" s="48" t="s">
        <v>24</v>
      </c>
      <c r="I56" s="48" t="s">
        <v>178</v>
      </c>
      <c r="J56" s="48" t="n">
        <v>1</v>
      </c>
      <c r="K56" s="51" t="n">
        <v>1000</v>
      </c>
      <c r="L56" s="52" t="n">
        <f aca="false">IFERROR(J56*K56,"")</f>
        <v>1000</v>
      </c>
      <c r="M56" s="53" t="s">
        <v>61</v>
      </c>
    </row>
    <row r="57" customFormat="false" ht="15" hidden="false" customHeight="false" outlineLevel="0" collapsed="false">
      <c r="A57" s="47" t="str">
        <f aca="false">IF(B57="","",A56+1)</f>
        <v/>
      </c>
      <c r="B57" s="48"/>
      <c r="C57" s="49"/>
      <c r="D57" s="50"/>
      <c r="E57" s="50"/>
      <c r="F57" s="54"/>
      <c r="G57" s="48"/>
      <c r="H57" s="48"/>
      <c r="I57" s="48"/>
      <c r="J57" s="48"/>
      <c r="K57" s="51"/>
      <c r="L57" s="52" t="n">
        <f aca="false">IFERROR(J57*K57,"")</f>
        <v>0</v>
      </c>
      <c r="M57" s="53"/>
    </row>
    <row r="58" customFormat="false" ht="15" hidden="false" customHeight="false" outlineLevel="0" collapsed="false">
      <c r="A58" s="47" t="str">
        <f aca="false">IF(B58="","",A57+1)</f>
        <v/>
      </c>
      <c r="B58" s="48"/>
      <c r="C58" s="49"/>
      <c r="D58" s="50"/>
      <c r="E58" s="50"/>
      <c r="F58" s="54"/>
      <c r="G58" s="48"/>
      <c r="H58" s="48"/>
      <c r="I58" s="48"/>
      <c r="J58" s="48"/>
      <c r="K58" s="51"/>
      <c r="L58" s="52" t="n">
        <f aca="false">IFERROR(J58*K58,"")</f>
        <v>0</v>
      </c>
      <c r="M58" s="53"/>
    </row>
    <row r="59" customFormat="false" ht="15" hidden="false" customHeight="false" outlineLevel="0" collapsed="false">
      <c r="A59" s="47" t="str">
        <f aca="false">IF(B59="","",A58+1)</f>
        <v/>
      </c>
      <c r="B59" s="48"/>
      <c r="C59" s="49"/>
      <c r="D59" s="50"/>
      <c r="E59" s="50"/>
      <c r="F59" s="54"/>
      <c r="G59" s="48"/>
      <c r="H59" s="48"/>
      <c r="I59" s="48"/>
      <c r="J59" s="48"/>
      <c r="K59" s="51"/>
      <c r="L59" s="52" t="n">
        <f aca="false">IFERROR(J59*K59,"")</f>
        <v>0</v>
      </c>
      <c r="M59" s="53"/>
    </row>
    <row r="60" customFormat="false" ht="15" hidden="false" customHeight="false" outlineLevel="0" collapsed="false">
      <c r="A60" s="47" t="str">
        <f aca="false">IF(B60="","",A59+1)</f>
        <v/>
      </c>
      <c r="B60" s="48"/>
      <c r="C60" s="49"/>
      <c r="D60" s="50"/>
      <c r="E60" s="50"/>
      <c r="F60" s="54"/>
      <c r="G60" s="48"/>
      <c r="H60" s="48"/>
      <c r="I60" s="48"/>
      <c r="J60" s="48"/>
      <c r="K60" s="51"/>
      <c r="L60" s="52" t="n">
        <f aca="false">IFERROR(J60*K60,"")</f>
        <v>0</v>
      </c>
      <c r="M60" s="53"/>
    </row>
    <row r="61" customFormat="false" ht="15" hidden="false" customHeight="false" outlineLevel="0" collapsed="false">
      <c r="A61" s="47" t="str">
        <f aca="false">IF(B61="","",A60+1)</f>
        <v/>
      </c>
      <c r="B61" s="48"/>
      <c r="C61" s="49"/>
      <c r="D61" s="50"/>
      <c r="E61" s="50"/>
      <c r="F61" s="54"/>
      <c r="G61" s="48"/>
      <c r="H61" s="48"/>
      <c r="I61" s="48"/>
      <c r="J61" s="48"/>
      <c r="K61" s="51"/>
      <c r="L61" s="52" t="n">
        <f aca="false">IFERROR(J61*K61,"")</f>
        <v>0</v>
      </c>
      <c r="M61" s="53"/>
    </row>
    <row r="62" customFormat="false" ht="15" hidden="false" customHeight="false" outlineLevel="0" collapsed="false">
      <c r="A62" s="47" t="str">
        <f aca="false">IF(B62="","",A61+1)</f>
        <v/>
      </c>
      <c r="B62" s="48"/>
      <c r="C62" s="49"/>
      <c r="D62" s="50"/>
      <c r="E62" s="50"/>
      <c r="F62" s="54"/>
      <c r="G62" s="48"/>
      <c r="H62" s="48"/>
      <c r="I62" s="48"/>
      <c r="J62" s="48"/>
      <c r="K62" s="51"/>
      <c r="L62" s="52" t="n">
        <f aca="false">IFERROR(J62*K62,"")</f>
        <v>0</v>
      </c>
      <c r="M62" s="53"/>
    </row>
    <row r="63" customFormat="false" ht="15" hidden="false" customHeight="false" outlineLevel="0" collapsed="false">
      <c r="A63" s="47" t="str">
        <f aca="false">IF(B63="","",A62+1)</f>
        <v/>
      </c>
      <c r="B63" s="48"/>
      <c r="C63" s="49"/>
      <c r="D63" s="50"/>
      <c r="E63" s="50"/>
      <c r="F63" s="54"/>
      <c r="G63" s="48"/>
      <c r="H63" s="48"/>
      <c r="I63" s="48"/>
      <c r="J63" s="48"/>
      <c r="K63" s="51"/>
      <c r="L63" s="52" t="n">
        <f aca="false">IFERROR(J63*K63,"")</f>
        <v>0</v>
      </c>
      <c r="M63" s="53"/>
    </row>
    <row r="64" customFormat="false" ht="15" hidden="false" customHeight="false" outlineLevel="0" collapsed="false">
      <c r="A64" s="47" t="str">
        <f aca="false">IF(B64="","",A63+1)</f>
        <v/>
      </c>
      <c r="B64" s="48"/>
      <c r="C64" s="49"/>
      <c r="D64" s="50"/>
      <c r="E64" s="50"/>
      <c r="F64" s="54"/>
      <c r="G64" s="48"/>
      <c r="H64" s="48"/>
      <c r="I64" s="48"/>
      <c r="J64" s="48"/>
      <c r="K64" s="51"/>
      <c r="L64" s="52" t="n">
        <f aca="false">IFERROR(J64*K64,"")</f>
        <v>0</v>
      </c>
      <c r="M64" s="53"/>
    </row>
    <row r="65" customFormat="false" ht="15" hidden="false" customHeight="false" outlineLevel="0" collapsed="false">
      <c r="A65" s="47" t="str">
        <f aca="false">IF(B65="","",A64+1)</f>
        <v/>
      </c>
      <c r="B65" s="48"/>
      <c r="C65" s="49"/>
      <c r="D65" s="50"/>
      <c r="E65" s="50"/>
      <c r="F65" s="54"/>
      <c r="G65" s="48"/>
      <c r="H65" s="48"/>
      <c r="I65" s="48"/>
      <c r="J65" s="48"/>
      <c r="K65" s="51"/>
      <c r="L65" s="52" t="n">
        <f aca="false">IFERROR(J65*K65,"")</f>
        <v>0</v>
      </c>
      <c r="M65" s="53"/>
    </row>
    <row r="66" customFormat="false" ht="15" hidden="false" customHeight="false" outlineLevel="0" collapsed="false">
      <c r="A66" s="47" t="str">
        <f aca="false">IF(B66="","",A65+1)</f>
        <v/>
      </c>
      <c r="B66" s="48"/>
      <c r="C66" s="49"/>
      <c r="D66" s="50"/>
      <c r="E66" s="50"/>
      <c r="F66" s="54"/>
      <c r="G66" s="48"/>
      <c r="H66" s="48"/>
      <c r="I66" s="48"/>
      <c r="J66" s="48"/>
      <c r="K66" s="51"/>
      <c r="L66" s="52" t="n">
        <f aca="false">IFERROR(J66*K66,"")</f>
        <v>0</v>
      </c>
      <c r="M66" s="53"/>
    </row>
    <row r="67" customFormat="false" ht="15" hidden="false" customHeight="false" outlineLevel="0" collapsed="false">
      <c r="A67" s="47" t="str">
        <f aca="false">IF(B67="","",A66+1)</f>
        <v/>
      </c>
      <c r="B67" s="48"/>
      <c r="C67" s="49"/>
      <c r="D67" s="50"/>
      <c r="E67" s="50"/>
      <c r="F67" s="54"/>
      <c r="G67" s="48"/>
      <c r="H67" s="48"/>
      <c r="I67" s="48"/>
      <c r="J67" s="48"/>
      <c r="K67" s="51"/>
      <c r="L67" s="52" t="n">
        <f aca="false">IFERROR(J67*K67,"")</f>
        <v>0</v>
      </c>
      <c r="M67" s="53"/>
    </row>
    <row r="68" customFormat="false" ht="15" hidden="false" customHeight="false" outlineLevel="0" collapsed="false">
      <c r="A68" s="47" t="str">
        <f aca="false">IF(B68="","",A67+1)</f>
        <v/>
      </c>
      <c r="B68" s="48"/>
      <c r="C68" s="49"/>
      <c r="D68" s="50"/>
      <c r="E68" s="50"/>
      <c r="F68" s="54"/>
      <c r="G68" s="48"/>
      <c r="H68" s="48"/>
      <c r="I68" s="48"/>
      <c r="J68" s="48"/>
      <c r="K68" s="51"/>
      <c r="L68" s="52" t="n">
        <f aca="false">IFERROR(J68*K68,"")</f>
        <v>0</v>
      </c>
      <c r="M68" s="53"/>
    </row>
    <row r="69" customFormat="false" ht="15" hidden="false" customHeight="false" outlineLevel="0" collapsed="false">
      <c r="A69" s="47" t="str">
        <f aca="false">IF(B69="","",A68+1)</f>
        <v/>
      </c>
      <c r="B69" s="48"/>
      <c r="C69" s="49"/>
      <c r="D69" s="50"/>
      <c r="E69" s="50"/>
      <c r="F69" s="54"/>
      <c r="G69" s="48"/>
      <c r="H69" s="48"/>
      <c r="I69" s="48"/>
      <c r="J69" s="48"/>
      <c r="K69" s="51"/>
      <c r="L69" s="52" t="n">
        <f aca="false">IFERROR(J69*K69,"")</f>
        <v>0</v>
      </c>
      <c r="M69" s="53"/>
    </row>
    <row r="70" customFormat="false" ht="15" hidden="false" customHeight="false" outlineLevel="0" collapsed="false">
      <c r="A70" s="47" t="str">
        <f aca="false">IF(B70="","",A69+1)</f>
        <v/>
      </c>
      <c r="B70" s="48"/>
      <c r="C70" s="49"/>
      <c r="D70" s="50"/>
      <c r="E70" s="50"/>
      <c r="F70" s="54"/>
      <c r="G70" s="48"/>
      <c r="H70" s="48"/>
      <c r="I70" s="48"/>
      <c r="J70" s="48"/>
      <c r="K70" s="51"/>
      <c r="L70" s="52" t="n">
        <f aca="false">IFERROR(J70*K70,"")</f>
        <v>0</v>
      </c>
      <c r="M70" s="53"/>
    </row>
    <row r="71" customFormat="false" ht="15" hidden="false" customHeight="false" outlineLevel="0" collapsed="false">
      <c r="A71" s="47" t="str">
        <f aca="false">IF(B71="","",A70+1)</f>
        <v/>
      </c>
      <c r="B71" s="48"/>
      <c r="C71" s="49"/>
      <c r="D71" s="50"/>
      <c r="E71" s="50"/>
      <c r="F71" s="54"/>
      <c r="G71" s="48"/>
      <c r="H71" s="48"/>
      <c r="I71" s="48"/>
      <c r="J71" s="48"/>
      <c r="K71" s="51"/>
      <c r="L71" s="52" t="n">
        <f aca="false">IFERROR(J71*K71,"")</f>
        <v>0</v>
      </c>
      <c r="M71" s="53"/>
    </row>
    <row r="72" customFormat="false" ht="15" hidden="false" customHeight="false" outlineLevel="0" collapsed="false">
      <c r="A72" s="47" t="str">
        <f aca="false">IF(B72="","",A71+1)</f>
        <v/>
      </c>
      <c r="B72" s="48"/>
      <c r="C72" s="49"/>
      <c r="D72" s="50"/>
      <c r="E72" s="50"/>
      <c r="F72" s="54"/>
      <c r="G72" s="48"/>
      <c r="H72" s="48"/>
      <c r="I72" s="48"/>
      <c r="J72" s="48"/>
      <c r="K72" s="51"/>
      <c r="L72" s="52" t="n">
        <f aca="false">IFERROR(J72*K72,"")</f>
        <v>0</v>
      </c>
      <c r="M72" s="53"/>
    </row>
    <row r="73" customFormat="false" ht="15" hidden="false" customHeight="false" outlineLevel="0" collapsed="false">
      <c r="A73" s="47" t="str">
        <f aca="false">IF(B73="","",A72+1)</f>
        <v/>
      </c>
      <c r="B73" s="48"/>
      <c r="C73" s="49"/>
      <c r="D73" s="50"/>
      <c r="E73" s="50"/>
      <c r="F73" s="54"/>
      <c r="G73" s="48"/>
      <c r="H73" s="48"/>
      <c r="I73" s="48"/>
      <c r="J73" s="48"/>
      <c r="K73" s="51"/>
      <c r="L73" s="52" t="n">
        <f aca="false">IFERROR(J73*K73,"")</f>
        <v>0</v>
      </c>
      <c r="M73" s="53"/>
    </row>
    <row r="74" customFormat="false" ht="15" hidden="false" customHeight="false" outlineLevel="0" collapsed="false">
      <c r="A74" s="47" t="str">
        <f aca="false">IF(B74="","",A73+1)</f>
        <v/>
      </c>
      <c r="B74" s="48"/>
      <c r="C74" s="49"/>
      <c r="D74" s="50"/>
      <c r="E74" s="50"/>
      <c r="F74" s="54"/>
      <c r="G74" s="48"/>
      <c r="H74" s="48"/>
      <c r="I74" s="48"/>
      <c r="J74" s="48"/>
      <c r="K74" s="51"/>
      <c r="L74" s="52" t="n">
        <f aca="false">IFERROR(J74*K74,"")</f>
        <v>0</v>
      </c>
      <c r="M74" s="53"/>
    </row>
    <row r="75" customFormat="false" ht="15" hidden="false" customHeight="false" outlineLevel="0" collapsed="false">
      <c r="A75" s="47" t="str">
        <f aca="false">IF(B75="","",A74+1)</f>
        <v/>
      </c>
      <c r="B75" s="48"/>
      <c r="C75" s="49"/>
      <c r="D75" s="50"/>
      <c r="E75" s="50"/>
      <c r="F75" s="54"/>
      <c r="G75" s="48"/>
      <c r="H75" s="48"/>
      <c r="I75" s="48"/>
      <c r="J75" s="48"/>
      <c r="K75" s="51"/>
      <c r="L75" s="52" t="n">
        <f aca="false">IFERROR(J75*K75,"")</f>
        <v>0</v>
      </c>
      <c r="M75" s="53"/>
    </row>
    <row r="76" customFormat="false" ht="15" hidden="false" customHeight="false" outlineLevel="0" collapsed="false">
      <c r="A76" s="47" t="str">
        <f aca="false">IF(B76="","",A75+1)</f>
        <v/>
      </c>
      <c r="B76" s="48"/>
      <c r="C76" s="49"/>
      <c r="D76" s="50"/>
      <c r="E76" s="50"/>
      <c r="F76" s="54"/>
      <c r="G76" s="48"/>
      <c r="H76" s="48"/>
      <c r="I76" s="48"/>
      <c r="J76" s="48"/>
      <c r="K76" s="51"/>
      <c r="L76" s="52" t="n">
        <f aca="false">IFERROR(J76*K76,"")</f>
        <v>0</v>
      </c>
      <c r="M76" s="53"/>
    </row>
    <row r="77" customFormat="false" ht="15" hidden="false" customHeight="false" outlineLevel="0" collapsed="false">
      <c r="A77" s="47" t="str">
        <f aca="false">IF(B77="","",A76+1)</f>
        <v/>
      </c>
      <c r="B77" s="48"/>
      <c r="C77" s="49"/>
      <c r="D77" s="50"/>
      <c r="E77" s="50"/>
      <c r="F77" s="54"/>
      <c r="G77" s="48"/>
      <c r="H77" s="48"/>
      <c r="I77" s="48"/>
      <c r="J77" s="48"/>
      <c r="K77" s="51"/>
      <c r="L77" s="52" t="n">
        <f aca="false">IFERROR(J77*K77,"")</f>
        <v>0</v>
      </c>
      <c r="M77" s="53"/>
    </row>
    <row r="78" customFormat="false" ht="15" hidden="false" customHeight="false" outlineLevel="0" collapsed="false">
      <c r="A78" s="47" t="str">
        <f aca="false">IF(B78="","",A77+1)</f>
        <v/>
      </c>
      <c r="B78" s="48"/>
      <c r="C78" s="49"/>
      <c r="D78" s="50"/>
      <c r="E78" s="50"/>
      <c r="F78" s="54"/>
      <c r="G78" s="48"/>
      <c r="H78" s="48"/>
      <c r="I78" s="48"/>
      <c r="J78" s="48"/>
      <c r="K78" s="51"/>
      <c r="L78" s="52" t="n">
        <f aca="false">IFERROR(J78*K78,"")</f>
        <v>0</v>
      </c>
      <c r="M78" s="53"/>
    </row>
    <row r="79" customFormat="false" ht="15" hidden="false" customHeight="false" outlineLevel="0" collapsed="false">
      <c r="A79" s="47" t="str">
        <f aca="false">IF(B79="","",A78+1)</f>
        <v/>
      </c>
      <c r="B79" s="48"/>
      <c r="C79" s="49"/>
      <c r="D79" s="50"/>
      <c r="E79" s="50"/>
      <c r="F79" s="54"/>
      <c r="G79" s="48"/>
      <c r="H79" s="48"/>
      <c r="I79" s="48"/>
      <c r="J79" s="48"/>
      <c r="K79" s="51"/>
      <c r="L79" s="52" t="n">
        <f aca="false">IFERROR(J79*K79,"")</f>
        <v>0</v>
      </c>
      <c r="M79" s="53"/>
    </row>
    <row r="80" customFormat="false" ht="15" hidden="false" customHeight="false" outlineLevel="0" collapsed="false">
      <c r="A80" s="47" t="str">
        <f aca="false">IF(B80="","",A79+1)</f>
        <v/>
      </c>
      <c r="B80" s="48"/>
      <c r="C80" s="49"/>
      <c r="D80" s="50"/>
      <c r="E80" s="50"/>
      <c r="F80" s="54"/>
      <c r="G80" s="48"/>
      <c r="H80" s="48"/>
      <c r="I80" s="48"/>
      <c r="J80" s="48"/>
      <c r="K80" s="51"/>
      <c r="L80" s="52" t="n">
        <f aca="false">IFERROR(J80*K80,"")</f>
        <v>0</v>
      </c>
      <c r="M80" s="53"/>
    </row>
    <row r="81" customFormat="false" ht="15" hidden="false" customHeight="false" outlineLevel="0" collapsed="false">
      <c r="A81" s="47" t="str">
        <f aca="false">IF(B81="","",A80+1)</f>
        <v/>
      </c>
      <c r="B81" s="48"/>
      <c r="C81" s="49"/>
      <c r="D81" s="50"/>
      <c r="E81" s="50"/>
      <c r="F81" s="54"/>
      <c r="G81" s="48"/>
      <c r="H81" s="48"/>
      <c r="I81" s="48"/>
      <c r="J81" s="48"/>
      <c r="K81" s="51"/>
      <c r="L81" s="52" t="n">
        <f aca="false">IFERROR(J81*K81,"")</f>
        <v>0</v>
      </c>
      <c r="M81" s="53"/>
    </row>
    <row r="82" customFormat="false" ht="15" hidden="false" customHeight="false" outlineLevel="0" collapsed="false">
      <c r="A82" s="47" t="str">
        <f aca="false">IF(B82="","",A81+1)</f>
        <v/>
      </c>
      <c r="B82" s="48"/>
      <c r="C82" s="49"/>
      <c r="D82" s="50"/>
      <c r="E82" s="50"/>
      <c r="F82" s="54"/>
      <c r="G82" s="48"/>
      <c r="H82" s="48"/>
      <c r="I82" s="48"/>
      <c r="J82" s="48"/>
      <c r="K82" s="51"/>
      <c r="L82" s="52" t="n">
        <f aca="false">IFERROR(J82*K82,"")</f>
        <v>0</v>
      </c>
      <c r="M82" s="53"/>
    </row>
    <row r="83" customFormat="false" ht="15" hidden="false" customHeight="false" outlineLevel="0" collapsed="false">
      <c r="A83" s="47" t="str">
        <f aca="false">IF(B83="","",A82+1)</f>
        <v/>
      </c>
      <c r="B83" s="48"/>
      <c r="C83" s="49"/>
      <c r="D83" s="50"/>
      <c r="E83" s="50"/>
      <c r="F83" s="54"/>
      <c r="G83" s="48"/>
      <c r="H83" s="48"/>
      <c r="I83" s="48"/>
      <c r="J83" s="48"/>
      <c r="K83" s="51"/>
      <c r="L83" s="52" t="n">
        <f aca="false">IFERROR(J83*K83,"")</f>
        <v>0</v>
      </c>
      <c r="M83" s="53"/>
    </row>
    <row r="84" customFormat="false" ht="15" hidden="false" customHeight="false" outlineLevel="0" collapsed="false">
      <c r="A84" s="47" t="str">
        <f aca="false">IF(B84="","",A83+1)</f>
        <v/>
      </c>
      <c r="B84" s="48"/>
      <c r="C84" s="49"/>
      <c r="D84" s="50"/>
      <c r="E84" s="50"/>
      <c r="F84" s="54"/>
      <c r="G84" s="48"/>
      <c r="H84" s="48"/>
      <c r="I84" s="48"/>
      <c r="J84" s="48"/>
      <c r="K84" s="51"/>
      <c r="L84" s="52" t="n">
        <f aca="false">IFERROR(J84*K84,"")</f>
        <v>0</v>
      </c>
      <c r="M84" s="53"/>
    </row>
    <row r="85" customFormat="false" ht="15" hidden="false" customHeight="false" outlineLevel="0" collapsed="false">
      <c r="A85" s="47" t="str">
        <f aca="false">IF(B85="","",A84+1)</f>
        <v/>
      </c>
      <c r="B85" s="48"/>
      <c r="C85" s="49"/>
      <c r="D85" s="50"/>
      <c r="E85" s="50"/>
      <c r="F85" s="54"/>
      <c r="G85" s="48"/>
      <c r="H85" s="48"/>
      <c r="I85" s="48"/>
      <c r="J85" s="48"/>
      <c r="K85" s="51"/>
      <c r="L85" s="52" t="n">
        <f aca="false">IFERROR(J85*K85,"")</f>
        <v>0</v>
      </c>
      <c r="M85" s="53"/>
    </row>
    <row r="86" customFormat="false" ht="15" hidden="false" customHeight="false" outlineLevel="0" collapsed="false">
      <c r="A86" s="47" t="str">
        <f aca="false">IF(B86="","",A85+1)</f>
        <v/>
      </c>
      <c r="B86" s="48"/>
      <c r="C86" s="49"/>
      <c r="D86" s="50"/>
      <c r="E86" s="50"/>
      <c r="F86" s="54"/>
      <c r="G86" s="48"/>
      <c r="H86" s="48"/>
      <c r="I86" s="48"/>
      <c r="J86" s="48"/>
      <c r="K86" s="51"/>
      <c r="L86" s="52" t="n">
        <f aca="false">IFERROR(J86*K86,"")</f>
        <v>0</v>
      </c>
      <c r="M86" s="53"/>
    </row>
    <row r="87" customFormat="false" ht="15" hidden="false" customHeight="false" outlineLevel="0" collapsed="false">
      <c r="A87" s="47" t="str">
        <f aca="false">IF(B87="","",A86+1)</f>
        <v/>
      </c>
      <c r="B87" s="48"/>
      <c r="C87" s="49"/>
      <c r="D87" s="50"/>
      <c r="E87" s="50"/>
      <c r="F87" s="54"/>
      <c r="G87" s="48"/>
      <c r="H87" s="48"/>
      <c r="I87" s="48"/>
      <c r="J87" s="48"/>
      <c r="K87" s="51"/>
      <c r="L87" s="52" t="n">
        <f aca="false">IFERROR(J87*K87,"")</f>
        <v>0</v>
      </c>
      <c r="M87" s="53"/>
    </row>
    <row r="88" customFormat="false" ht="15" hidden="false" customHeight="false" outlineLevel="0" collapsed="false">
      <c r="A88" s="47" t="str">
        <f aca="false">IF(B88="","",A87+1)</f>
        <v/>
      </c>
      <c r="B88" s="48"/>
      <c r="C88" s="49"/>
      <c r="D88" s="50"/>
      <c r="E88" s="50"/>
      <c r="F88" s="54"/>
      <c r="G88" s="48"/>
      <c r="H88" s="48"/>
      <c r="I88" s="48"/>
      <c r="J88" s="48"/>
      <c r="K88" s="51"/>
      <c r="L88" s="52" t="n">
        <f aca="false">IFERROR(J88*K88,"")</f>
        <v>0</v>
      </c>
      <c r="M88" s="53"/>
    </row>
    <row r="89" customFormat="false" ht="15" hidden="false" customHeight="false" outlineLevel="0" collapsed="false">
      <c r="A89" s="47" t="str">
        <f aca="false">IF(B89="","",A88+1)</f>
        <v/>
      </c>
      <c r="B89" s="48"/>
      <c r="C89" s="49"/>
      <c r="D89" s="50"/>
      <c r="E89" s="50"/>
      <c r="F89" s="54"/>
      <c r="G89" s="48"/>
      <c r="H89" s="48"/>
      <c r="I89" s="48"/>
      <c r="J89" s="48"/>
      <c r="K89" s="51"/>
      <c r="L89" s="52" t="n">
        <f aca="false">IFERROR(J89*K89,"")</f>
        <v>0</v>
      </c>
      <c r="M89" s="53"/>
    </row>
    <row r="90" customFormat="false" ht="15" hidden="false" customHeight="false" outlineLevel="0" collapsed="false">
      <c r="A90" s="47" t="str">
        <f aca="false">IF(B90="","",A89+1)</f>
        <v/>
      </c>
      <c r="B90" s="48"/>
      <c r="C90" s="49"/>
      <c r="D90" s="50"/>
      <c r="E90" s="50"/>
      <c r="F90" s="54"/>
      <c r="G90" s="48"/>
      <c r="H90" s="48"/>
      <c r="I90" s="48"/>
      <c r="J90" s="48"/>
      <c r="K90" s="51"/>
      <c r="L90" s="52" t="n">
        <f aca="false">IFERROR(J90*K90,"")</f>
        <v>0</v>
      </c>
      <c r="M90" s="53"/>
    </row>
    <row r="91" customFormat="false" ht="15" hidden="false" customHeight="false" outlineLevel="0" collapsed="false">
      <c r="A91" s="47" t="str">
        <f aca="false">IF(B91="","",A90+1)</f>
        <v/>
      </c>
      <c r="B91" s="48"/>
      <c r="C91" s="49"/>
      <c r="D91" s="50"/>
      <c r="E91" s="50"/>
      <c r="F91" s="54"/>
      <c r="G91" s="48"/>
      <c r="H91" s="48"/>
      <c r="I91" s="48"/>
      <c r="J91" s="48"/>
      <c r="K91" s="51"/>
      <c r="L91" s="52" t="n">
        <f aca="false">IFERROR(J91*K91,"")</f>
        <v>0</v>
      </c>
      <c r="M91" s="53"/>
    </row>
    <row r="92" customFormat="false" ht="15" hidden="false" customHeight="false" outlineLevel="0" collapsed="false">
      <c r="A92" s="47" t="str">
        <f aca="false">IF(B92="","",A91+1)</f>
        <v/>
      </c>
      <c r="B92" s="48"/>
      <c r="C92" s="49"/>
      <c r="D92" s="50"/>
      <c r="E92" s="50"/>
      <c r="F92" s="54"/>
      <c r="G92" s="48"/>
      <c r="H92" s="48"/>
      <c r="I92" s="48"/>
      <c r="J92" s="48"/>
      <c r="K92" s="51"/>
      <c r="L92" s="52" t="n">
        <f aca="false">IFERROR(J92*K92,"")</f>
        <v>0</v>
      </c>
      <c r="M92" s="53"/>
    </row>
    <row r="93" customFormat="false" ht="15" hidden="false" customHeight="false" outlineLevel="0" collapsed="false">
      <c r="A93" s="47" t="str">
        <f aca="false">IF(B93="","",A92+1)</f>
        <v/>
      </c>
      <c r="B93" s="48"/>
      <c r="C93" s="49"/>
      <c r="D93" s="50"/>
      <c r="E93" s="50"/>
      <c r="F93" s="54"/>
      <c r="G93" s="48"/>
      <c r="H93" s="48"/>
      <c r="I93" s="48"/>
      <c r="J93" s="48"/>
      <c r="K93" s="51"/>
      <c r="L93" s="52" t="n">
        <f aca="false">IFERROR(J93*K93,"")</f>
        <v>0</v>
      </c>
      <c r="M93" s="53"/>
    </row>
    <row r="94" customFormat="false" ht="15" hidden="false" customHeight="false" outlineLevel="0" collapsed="false">
      <c r="A94" s="47" t="str">
        <f aca="false">IF(B94="","",A93+1)</f>
        <v/>
      </c>
      <c r="B94" s="48"/>
      <c r="C94" s="49"/>
      <c r="D94" s="50"/>
      <c r="E94" s="50"/>
      <c r="F94" s="54"/>
      <c r="G94" s="48"/>
      <c r="H94" s="48"/>
      <c r="I94" s="48"/>
      <c r="J94" s="48"/>
      <c r="K94" s="51"/>
      <c r="L94" s="52" t="n">
        <f aca="false">IFERROR(J94*K94,"")</f>
        <v>0</v>
      </c>
      <c r="M94" s="53"/>
    </row>
    <row r="95" customFormat="false" ht="15" hidden="false" customHeight="false" outlineLevel="0" collapsed="false">
      <c r="A95" s="47" t="str">
        <f aca="false">IF(B95="","",A94+1)</f>
        <v/>
      </c>
      <c r="B95" s="48"/>
      <c r="C95" s="49"/>
      <c r="D95" s="50"/>
      <c r="E95" s="50"/>
      <c r="F95" s="54"/>
      <c r="G95" s="48"/>
      <c r="H95" s="48"/>
      <c r="I95" s="48"/>
      <c r="J95" s="48"/>
      <c r="K95" s="51"/>
      <c r="L95" s="52" t="n">
        <f aca="false">IFERROR(J95*K95,"")</f>
        <v>0</v>
      </c>
      <c r="M95" s="53"/>
    </row>
    <row r="96" customFormat="false" ht="15" hidden="false" customHeight="false" outlineLevel="0" collapsed="false">
      <c r="A96" s="47" t="str">
        <f aca="false">IF(B96="","",A95+1)</f>
        <v/>
      </c>
      <c r="B96" s="48"/>
      <c r="C96" s="49"/>
      <c r="D96" s="50"/>
      <c r="E96" s="50"/>
      <c r="F96" s="54"/>
      <c r="G96" s="48"/>
      <c r="H96" s="48"/>
      <c r="I96" s="48"/>
      <c r="J96" s="48"/>
      <c r="K96" s="51"/>
      <c r="L96" s="52" t="n">
        <f aca="false">IFERROR(J96*K96,"")</f>
        <v>0</v>
      </c>
      <c r="M96" s="53"/>
    </row>
    <row r="97" customFormat="false" ht="15" hidden="false" customHeight="false" outlineLevel="0" collapsed="false">
      <c r="A97" s="47" t="str">
        <f aca="false">IF(B97="","",A96+1)</f>
        <v/>
      </c>
      <c r="B97" s="48"/>
      <c r="C97" s="49"/>
      <c r="D97" s="50"/>
      <c r="E97" s="50"/>
      <c r="F97" s="54"/>
      <c r="G97" s="48"/>
      <c r="H97" s="48"/>
      <c r="I97" s="48"/>
      <c r="J97" s="48"/>
      <c r="K97" s="51"/>
      <c r="L97" s="52" t="n">
        <f aca="false">IFERROR(J97*K97,"")</f>
        <v>0</v>
      </c>
      <c r="M97" s="53"/>
    </row>
    <row r="98" customFormat="false" ht="15" hidden="false" customHeight="false" outlineLevel="0" collapsed="false">
      <c r="A98" s="47" t="str">
        <f aca="false">IF(B98="","",A97+1)</f>
        <v/>
      </c>
      <c r="B98" s="48"/>
      <c r="C98" s="49"/>
      <c r="D98" s="50"/>
      <c r="E98" s="50"/>
      <c r="F98" s="54"/>
      <c r="G98" s="48"/>
      <c r="H98" s="48"/>
      <c r="I98" s="48"/>
      <c r="J98" s="48"/>
      <c r="K98" s="51"/>
      <c r="L98" s="52" t="n">
        <f aca="false">IFERROR(J98*K98,"")</f>
        <v>0</v>
      </c>
      <c r="M98" s="53"/>
    </row>
    <row r="99" customFormat="false" ht="15" hidden="false" customHeight="false" outlineLevel="0" collapsed="false">
      <c r="A99" s="47" t="str">
        <f aca="false">IF(B99="","",A98+1)</f>
        <v/>
      </c>
      <c r="B99" s="48"/>
      <c r="C99" s="49"/>
      <c r="D99" s="50"/>
      <c r="E99" s="49"/>
      <c r="F99" s="49"/>
      <c r="G99" s="48"/>
      <c r="H99" s="48"/>
      <c r="I99" s="48"/>
      <c r="J99" s="48"/>
      <c r="K99" s="51"/>
      <c r="L99" s="52" t="n">
        <f aca="false">IFERROR(J99*K99,"")</f>
        <v>0</v>
      </c>
      <c r="M99" s="53"/>
    </row>
    <row r="100" customFormat="false" ht="15" hidden="false" customHeight="false" outlineLevel="0" collapsed="false">
      <c r="A100" s="47" t="str">
        <f aca="false">IF(B100="","",A99+1)</f>
        <v/>
      </c>
      <c r="B100" s="48"/>
      <c r="C100" s="49"/>
      <c r="D100" s="50"/>
      <c r="E100" s="49"/>
      <c r="F100" s="49"/>
      <c r="G100" s="48"/>
      <c r="H100" s="48"/>
      <c r="I100" s="48"/>
      <c r="J100" s="48"/>
      <c r="K100" s="51"/>
      <c r="L100" s="52" t="n">
        <f aca="false">IFERROR(J100*K100,"")</f>
        <v>0</v>
      </c>
      <c r="M100" s="53"/>
    </row>
    <row r="101" customFormat="false" ht="15" hidden="false" customHeight="false" outlineLevel="0" collapsed="false">
      <c r="A101" s="47" t="str">
        <f aca="false">IF(B101="","",A100+1)</f>
        <v/>
      </c>
      <c r="B101" s="48"/>
      <c r="C101" s="49"/>
      <c r="D101" s="50"/>
      <c r="E101" s="49"/>
      <c r="F101" s="49"/>
      <c r="G101" s="48"/>
      <c r="H101" s="48"/>
      <c r="I101" s="48"/>
      <c r="J101" s="48"/>
      <c r="K101" s="51"/>
      <c r="L101" s="52" t="n">
        <f aca="false">IFERROR(J101*K101,"")</f>
        <v>0</v>
      </c>
      <c r="M101" s="53"/>
    </row>
    <row r="102" customFormat="false" ht="15" hidden="false" customHeight="false" outlineLevel="0" collapsed="false">
      <c r="A102" s="47" t="str">
        <f aca="false">IF(B102="","",A101+1)</f>
        <v/>
      </c>
      <c r="B102" s="48"/>
      <c r="C102" s="49"/>
      <c r="D102" s="50"/>
      <c r="E102" s="49"/>
      <c r="F102" s="49"/>
      <c r="G102" s="48"/>
      <c r="H102" s="48"/>
      <c r="I102" s="48"/>
      <c r="J102" s="48"/>
      <c r="K102" s="51"/>
      <c r="L102" s="52" t="n">
        <f aca="false">IFERROR(J102*K102,"")</f>
        <v>0</v>
      </c>
      <c r="M102" s="53"/>
    </row>
    <row r="103" customFormat="false" ht="15" hidden="false" customHeight="false" outlineLevel="0" collapsed="false">
      <c r="A103" s="47" t="str">
        <f aca="false">IF(B103="","",A102+1)</f>
        <v/>
      </c>
      <c r="B103" s="48"/>
      <c r="C103" s="49"/>
      <c r="D103" s="50"/>
      <c r="E103" s="49"/>
      <c r="F103" s="49"/>
      <c r="G103" s="48"/>
      <c r="H103" s="48"/>
      <c r="I103" s="48"/>
      <c r="J103" s="48"/>
      <c r="K103" s="51"/>
      <c r="L103" s="52" t="n">
        <f aca="false">IFERROR(J103*K103,"")</f>
        <v>0</v>
      </c>
      <c r="M103" s="53"/>
    </row>
    <row r="104" customFormat="false" ht="15" hidden="false" customHeight="false" outlineLevel="0" collapsed="false">
      <c r="A104" s="47" t="str">
        <f aca="false">IF(B104="","",A103+1)</f>
        <v/>
      </c>
      <c r="B104" s="48"/>
      <c r="C104" s="49"/>
      <c r="D104" s="50"/>
      <c r="E104" s="49"/>
      <c r="F104" s="49"/>
      <c r="G104" s="48"/>
      <c r="H104" s="48"/>
      <c r="I104" s="48"/>
      <c r="J104" s="48"/>
      <c r="K104" s="51"/>
      <c r="L104" s="52" t="n">
        <f aca="false">IFERROR(J104*K104,"")</f>
        <v>0</v>
      </c>
      <c r="M104" s="53"/>
    </row>
    <row r="105" customFormat="false" ht="15" hidden="false" customHeight="false" outlineLevel="0" collapsed="false">
      <c r="A105" s="47" t="str">
        <f aca="false">IF(B105="","",A104+1)</f>
        <v/>
      </c>
      <c r="B105" s="48"/>
      <c r="C105" s="49"/>
      <c r="D105" s="50"/>
      <c r="E105" s="49"/>
      <c r="F105" s="49"/>
      <c r="G105" s="48"/>
      <c r="H105" s="48"/>
      <c r="I105" s="48"/>
      <c r="J105" s="48"/>
      <c r="K105" s="51"/>
      <c r="L105" s="52" t="n">
        <f aca="false">IFERROR(J105*K105,"")</f>
        <v>0</v>
      </c>
      <c r="M105" s="53"/>
    </row>
    <row r="106" customFormat="false" ht="15" hidden="false" customHeight="false" outlineLevel="0" collapsed="false">
      <c r="A106" s="47" t="str">
        <f aca="false">IF(B106="","",A105+1)</f>
        <v/>
      </c>
      <c r="B106" s="48"/>
      <c r="C106" s="49"/>
      <c r="D106" s="50"/>
      <c r="E106" s="49"/>
      <c r="F106" s="49"/>
      <c r="G106" s="48"/>
      <c r="H106" s="48"/>
      <c r="I106" s="48"/>
      <c r="J106" s="48"/>
      <c r="K106" s="51"/>
      <c r="L106" s="52" t="n">
        <f aca="false">IFERROR(J106*K106,"")</f>
        <v>0</v>
      </c>
      <c r="M106" s="53"/>
    </row>
    <row r="107" customFormat="false" ht="15" hidden="false" customHeight="false" outlineLevel="0" collapsed="false">
      <c r="A107" s="47" t="str">
        <f aca="false">IF(B107="","",A106+1)</f>
        <v/>
      </c>
      <c r="B107" s="48"/>
      <c r="C107" s="49"/>
      <c r="D107" s="50"/>
      <c r="E107" s="49"/>
      <c r="F107" s="49"/>
      <c r="G107" s="48"/>
      <c r="H107" s="48"/>
      <c r="I107" s="48"/>
      <c r="J107" s="48"/>
      <c r="K107" s="51"/>
      <c r="L107" s="52" t="n">
        <f aca="false">IFERROR(J107*K107,"")</f>
        <v>0</v>
      </c>
      <c r="M107" s="53"/>
    </row>
    <row r="108" customFormat="false" ht="15" hidden="false" customHeight="false" outlineLevel="0" collapsed="false">
      <c r="A108" s="47" t="str">
        <f aca="false">IF(B108="","",A107+1)</f>
        <v/>
      </c>
      <c r="B108" s="48"/>
      <c r="C108" s="49"/>
      <c r="D108" s="50"/>
      <c r="E108" s="49"/>
      <c r="F108" s="49"/>
      <c r="G108" s="48"/>
      <c r="H108" s="48"/>
      <c r="I108" s="48"/>
      <c r="J108" s="48"/>
      <c r="K108" s="51"/>
      <c r="L108" s="52" t="n">
        <f aca="false">IFERROR(J108*K108,"")</f>
        <v>0</v>
      </c>
      <c r="M108" s="53"/>
    </row>
    <row r="109" customFormat="false" ht="15" hidden="false" customHeight="false" outlineLevel="0" collapsed="false">
      <c r="A109" s="47" t="str">
        <f aca="false">IF(B109="","",A108+1)</f>
        <v/>
      </c>
      <c r="B109" s="48"/>
      <c r="C109" s="49"/>
      <c r="D109" s="50"/>
      <c r="E109" s="49"/>
      <c r="F109" s="49"/>
      <c r="G109" s="48"/>
      <c r="H109" s="48"/>
      <c r="I109" s="48"/>
      <c r="J109" s="48"/>
      <c r="K109" s="51"/>
      <c r="L109" s="52" t="n">
        <f aca="false">IFERROR(J109*K109,"")</f>
        <v>0</v>
      </c>
      <c r="M109" s="53"/>
    </row>
    <row r="110" customFormat="false" ht="15" hidden="false" customHeight="false" outlineLevel="0" collapsed="false">
      <c r="A110" s="47" t="str">
        <f aca="false">IF(B110="","",A109+1)</f>
        <v/>
      </c>
      <c r="B110" s="48"/>
      <c r="C110" s="49"/>
      <c r="D110" s="50"/>
      <c r="E110" s="49"/>
      <c r="F110" s="49"/>
      <c r="G110" s="48"/>
      <c r="H110" s="48"/>
      <c r="I110" s="48"/>
      <c r="J110" s="48"/>
      <c r="K110" s="51"/>
      <c r="L110" s="52" t="n">
        <f aca="false">IFERROR(J110*K110,"")</f>
        <v>0</v>
      </c>
      <c r="M110" s="53"/>
    </row>
    <row r="111" customFormat="false" ht="15" hidden="false" customHeight="false" outlineLevel="0" collapsed="false">
      <c r="A111" s="47" t="str">
        <f aca="false">IF(B111="","",A110+1)</f>
        <v/>
      </c>
      <c r="B111" s="48"/>
      <c r="C111" s="49"/>
      <c r="D111" s="50"/>
      <c r="E111" s="49"/>
      <c r="F111" s="49"/>
      <c r="G111" s="48"/>
      <c r="H111" s="48"/>
      <c r="I111" s="48"/>
      <c r="J111" s="48"/>
      <c r="K111" s="51"/>
      <c r="L111" s="52" t="n">
        <f aca="false">IFERROR(J111*K111,"")</f>
        <v>0</v>
      </c>
      <c r="M111" s="53"/>
    </row>
    <row r="112" customFormat="false" ht="15" hidden="false" customHeight="false" outlineLevel="0" collapsed="false">
      <c r="A112" s="47" t="str">
        <f aca="false">IF(B112="","",A111+1)</f>
        <v/>
      </c>
      <c r="B112" s="48"/>
      <c r="C112" s="49"/>
      <c r="D112" s="50"/>
      <c r="E112" s="49"/>
      <c r="F112" s="49"/>
      <c r="G112" s="48"/>
      <c r="H112" s="48"/>
      <c r="I112" s="48"/>
      <c r="J112" s="48"/>
      <c r="K112" s="51"/>
      <c r="L112" s="52" t="n">
        <f aca="false">IFERROR(J112*K112,"")</f>
        <v>0</v>
      </c>
      <c r="M112" s="53"/>
    </row>
    <row r="113" customFormat="false" ht="15" hidden="false" customHeight="false" outlineLevel="0" collapsed="false">
      <c r="A113" s="47" t="str">
        <f aca="false">IF(B113="","",A112+1)</f>
        <v/>
      </c>
      <c r="B113" s="48"/>
      <c r="C113" s="49"/>
      <c r="D113" s="50"/>
      <c r="E113" s="49"/>
      <c r="F113" s="49"/>
      <c r="G113" s="48"/>
      <c r="H113" s="48"/>
      <c r="I113" s="48"/>
      <c r="J113" s="48"/>
      <c r="K113" s="51"/>
      <c r="L113" s="52" t="n">
        <f aca="false">IFERROR(J113*K113,"")</f>
        <v>0</v>
      </c>
      <c r="M113" s="53"/>
    </row>
    <row r="114" customFormat="false" ht="15" hidden="false" customHeight="false" outlineLevel="0" collapsed="false">
      <c r="A114" s="47" t="str">
        <f aca="false">IF(B114="","",A113+1)</f>
        <v/>
      </c>
      <c r="B114" s="48"/>
      <c r="C114" s="49"/>
      <c r="D114" s="50"/>
      <c r="E114" s="49"/>
      <c r="F114" s="49"/>
      <c r="G114" s="48"/>
      <c r="H114" s="48"/>
      <c r="I114" s="48"/>
      <c r="J114" s="48"/>
      <c r="K114" s="51"/>
      <c r="L114" s="52" t="n">
        <f aca="false">IFERROR(J114*K114,"")</f>
        <v>0</v>
      </c>
      <c r="M114" s="53"/>
    </row>
    <row r="115" customFormat="false" ht="15" hidden="false" customHeight="false" outlineLevel="0" collapsed="false">
      <c r="A115" s="47" t="str">
        <f aca="false">IF(B115="","",A114+1)</f>
        <v/>
      </c>
      <c r="B115" s="48"/>
      <c r="C115" s="49"/>
      <c r="D115" s="50"/>
      <c r="E115" s="49"/>
      <c r="F115" s="49"/>
      <c r="G115" s="48"/>
      <c r="H115" s="48"/>
      <c r="I115" s="48"/>
      <c r="J115" s="48"/>
      <c r="K115" s="51"/>
      <c r="L115" s="52" t="n">
        <f aca="false">IFERROR(J115*K115,"")</f>
        <v>0</v>
      </c>
      <c r="M115" s="53"/>
    </row>
    <row r="116" customFormat="false" ht="15" hidden="false" customHeight="false" outlineLevel="0" collapsed="false">
      <c r="A116" s="47" t="str">
        <f aca="false">IF(B116="","",A115+1)</f>
        <v/>
      </c>
      <c r="B116" s="48"/>
      <c r="C116" s="49"/>
      <c r="D116" s="50"/>
      <c r="E116" s="49"/>
      <c r="F116" s="49"/>
      <c r="G116" s="48"/>
      <c r="H116" s="48"/>
      <c r="I116" s="48"/>
      <c r="J116" s="48"/>
      <c r="K116" s="51"/>
      <c r="L116" s="52" t="n">
        <f aca="false">IFERROR(J116*K116,"")</f>
        <v>0</v>
      </c>
      <c r="M116" s="53"/>
    </row>
    <row r="117" customFormat="false" ht="15" hidden="false" customHeight="false" outlineLevel="0" collapsed="false">
      <c r="A117" s="47" t="str">
        <f aca="false">IF(B117="","",A116+1)</f>
        <v/>
      </c>
      <c r="B117" s="48"/>
      <c r="C117" s="49"/>
      <c r="D117" s="50"/>
      <c r="E117" s="49"/>
      <c r="F117" s="49"/>
      <c r="G117" s="48"/>
      <c r="H117" s="48"/>
      <c r="I117" s="48"/>
      <c r="J117" s="48"/>
      <c r="K117" s="51"/>
      <c r="L117" s="52" t="n">
        <f aca="false">IFERROR(J117*K117,"")</f>
        <v>0</v>
      </c>
      <c r="M117" s="53"/>
    </row>
    <row r="118" customFormat="false" ht="15" hidden="false" customHeight="false" outlineLevel="0" collapsed="false">
      <c r="A118" s="47" t="str">
        <f aca="false">IF(B118="","",A117+1)</f>
        <v/>
      </c>
      <c r="B118" s="48"/>
      <c r="C118" s="49"/>
      <c r="D118" s="50"/>
      <c r="E118" s="49"/>
      <c r="F118" s="49"/>
      <c r="G118" s="48"/>
      <c r="H118" s="48"/>
      <c r="I118" s="48"/>
      <c r="J118" s="48"/>
      <c r="K118" s="51"/>
      <c r="L118" s="52" t="n">
        <f aca="false">IFERROR(J118*K118,"")</f>
        <v>0</v>
      </c>
      <c r="M118" s="53"/>
    </row>
    <row r="119" customFormat="false" ht="15" hidden="false" customHeight="false" outlineLevel="0" collapsed="false">
      <c r="A119" s="47" t="str">
        <f aca="false">IF(B119="","",A118+1)</f>
        <v/>
      </c>
      <c r="B119" s="48"/>
      <c r="C119" s="49"/>
      <c r="D119" s="50"/>
      <c r="E119" s="49"/>
      <c r="F119" s="49"/>
      <c r="G119" s="48"/>
      <c r="H119" s="48"/>
      <c r="I119" s="48"/>
      <c r="J119" s="48"/>
      <c r="K119" s="51"/>
      <c r="L119" s="52" t="n">
        <f aca="false">IFERROR(J119*K119,"")</f>
        <v>0</v>
      </c>
      <c r="M119" s="53"/>
    </row>
    <row r="120" customFormat="false" ht="15" hidden="false" customHeight="false" outlineLevel="0" collapsed="false">
      <c r="A120" s="47" t="str">
        <f aca="false">IF(B120="","",A119+1)</f>
        <v/>
      </c>
      <c r="B120" s="48"/>
      <c r="C120" s="49"/>
      <c r="D120" s="50"/>
      <c r="E120" s="49"/>
      <c r="F120" s="49"/>
      <c r="G120" s="48"/>
      <c r="H120" s="48"/>
      <c r="I120" s="48"/>
      <c r="J120" s="48"/>
      <c r="K120" s="51"/>
      <c r="L120" s="52" t="n">
        <f aca="false">IFERROR(J120*K120,"")</f>
        <v>0</v>
      </c>
      <c r="M120" s="53"/>
    </row>
    <row r="121" customFormat="false" ht="15" hidden="false" customHeight="false" outlineLevel="0" collapsed="false">
      <c r="A121" s="47" t="str">
        <f aca="false">IF(B121="","",A120+1)</f>
        <v/>
      </c>
      <c r="B121" s="48"/>
      <c r="C121" s="49"/>
      <c r="D121" s="50"/>
      <c r="E121" s="49"/>
      <c r="F121" s="49"/>
      <c r="G121" s="48"/>
      <c r="H121" s="48"/>
      <c r="I121" s="48"/>
      <c r="J121" s="48"/>
      <c r="K121" s="51"/>
      <c r="L121" s="52" t="n">
        <f aca="false">IFERROR(J121*K121,"")</f>
        <v>0</v>
      </c>
      <c r="M121" s="53"/>
    </row>
    <row r="122" customFormat="false" ht="15" hidden="false" customHeight="false" outlineLevel="0" collapsed="false">
      <c r="A122" s="47" t="str">
        <f aca="false">IF(B122="","",A121+1)</f>
        <v/>
      </c>
      <c r="B122" s="48"/>
      <c r="C122" s="49"/>
      <c r="D122" s="50"/>
      <c r="E122" s="49"/>
      <c r="F122" s="49"/>
      <c r="G122" s="48"/>
      <c r="H122" s="48"/>
      <c r="I122" s="48"/>
      <c r="J122" s="48"/>
      <c r="K122" s="51"/>
      <c r="L122" s="52" t="n">
        <f aca="false">IFERROR(J122*K122,"")</f>
        <v>0</v>
      </c>
      <c r="M122" s="53"/>
    </row>
    <row r="123" customFormat="false" ht="15" hidden="false" customHeight="false" outlineLevel="0" collapsed="false">
      <c r="A123" s="47" t="str">
        <f aca="false">IF(B123="","",A122+1)</f>
        <v/>
      </c>
      <c r="B123" s="48"/>
      <c r="C123" s="49"/>
      <c r="D123" s="50"/>
      <c r="E123" s="49"/>
      <c r="F123" s="49"/>
      <c r="G123" s="48"/>
      <c r="H123" s="48"/>
      <c r="I123" s="48"/>
      <c r="J123" s="48"/>
      <c r="K123" s="51"/>
      <c r="L123" s="52" t="n">
        <f aca="false">IFERROR(J123*K123,"")</f>
        <v>0</v>
      </c>
      <c r="M123" s="53"/>
    </row>
    <row r="124" customFormat="false" ht="15" hidden="false" customHeight="false" outlineLevel="0" collapsed="false">
      <c r="A124" s="47" t="str">
        <f aca="false">IF(B124="","",A123+1)</f>
        <v/>
      </c>
      <c r="B124" s="48"/>
      <c r="C124" s="49"/>
      <c r="D124" s="50"/>
      <c r="E124" s="49"/>
      <c r="F124" s="49"/>
      <c r="G124" s="48"/>
      <c r="H124" s="48"/>
      <c r="I124" s="48"/>
      <c r="J124" s="48"/>
      <c r="K124" s="51"/>
      <c r="L124" s="52" t="n">
        <f aca="false">IFERROR(J124*K124,"")</f>
        <v>0</v>
      </c>
      <c r="M124" s="53"/>
    </row>
    <row r="125" customFormat="false" ht="15" hidden="false" customHeight="false" outlineLevel="0" collapsed="false">
      <c r="A125" s="47" t="str">
        <f aca="false">IF(B125="","",A124+1)</f>
        <v/>
      </c>
      <c r="B125" s="48"/>
      <c r="C125" s="49"/>
      <c r="D125" s="50"/>
      <c r="E125" s="49"/>
      <c r="F125" s="49"/>
      <c r="G125" s="48"/>
      <c r="H125" s="48"/>
      <c r="I125" s="48"/>
      <c r="J125" s="48"/>
      <c r="K125" s="51"/>
      <c r="L125" s="52" t="n">
        <f aca="false">IFERROR(J125*K125,"")</f>
        <v>0</v>
      </c>
      <c r="M125" s="53"/>
    </row>
    <row r="126" customFormat="false" ht="15" hidden="false" customHeight="false" outlineLevel="0" collapsed="false">
      <c r="A126" s="47" t="str">
        <f aca="false">IF(B126="","",A125+1)</f>
        <v/>
      </c>
      <c r="B126" s="48"/>
      <c r="C126" s="49"/>
      <c r="D126" s="50"/>
      <c r="E126" s="49"/>
      <c r="F126" s="49"/>
      <c r="G126" s="48"/>
      <c r="H126" s="48"/>
      <c r="I126" s="48"/>
      <c r="J126" s="48"/>
      <c r="K126" s="51"/>
      <c r="L126" s="52" t="n">
        <f aca="false">IFERROR(J126*K126,"")</f>
        <v>0</v>
      </c>
      <c r="M126" s="53"/>
    </row>
    <row r="127" customFormat="false" ht="15" hidden="false" customHeight="false" outlineLevel="0" collapsed="false">
      <c r="A127" s="47" t="str">
        <f aca="false">IF(B127="","",A126+1)</f>
        <v/>
      </c>
      <c r="B127" s="48"/>
      <c r="C127" s="49"/>
      <c r="D127" s="50"/>
      <c r="E127" s="49"/>
      <c r="F127" s="49"/>
      <c r="G127" s="48"/>
      <c r="H127" s="48"/>
      <c r="I127" s="48"/>
      <c r="J127" s="48"/>
      <c r="K127" s="51"/>
      <c r="L127" s="52" t="n">
        <f aca="false">IFERROR(J127*K127,"")</f>
        <v>0</v>
      </c>
      <c r="M127" s="53"/>
    </row>
    <row r="128" customFormat="false" ht="15" hidden="false" customHeight="false" outlineLevel="0" collapsed="false">
      <c r="A128" s="47" t="str">
        <f aca="false">IF(B128="","",A127+1)</f>
        <v/>
      </c>
      <c r="B128" s="48"/>
      <c r="C128" s="49"/>
      <c r="D128" s="50"/>
      <c r="E128" s="49"/>
      <c r="F128" s="49"/>
      <c r="G128" s="48"/>
      <c r="H128" s="48"/>
      <c r="I128" s="48"/>
      <c r="J128" s="48"/>
      <c r="K128" s="51"/>
      <c r="L128" s="52" t="n">
        <f aca="false">IFERROR(J128*K128,"")</f>
        <v>0</v>
      </c>
      <c r="M128" s="53"/>
    </row>
    <row r="129" customFormat="false" ht="15" hidden="false" customHeight="false" outlineLevel="0" collapsed="false">
      <c r="A129" s="47" t="str">
        <f aca="false">IF(B129="","",A128+1)</f>
        <v/>
      </c>
      <c r="B129" s="48"/>
      <c r="C129" s="49"/>
      <c r="D129" s="50"/>
      <c r="E129" s="49"/>
      <c r="F129" s="49"/>
      <c r="G129" s="48"/>
      <c r="H129" s="48"/>
      <c r="I129" s="48"/>
      <c r="J129" s="48"/>
      <c r="K129" s="51"/>
      <c r="L129" s="52" t="n">
        <f aca="false">IFERROR(J129*K129,"")</f>
        <v>0</v>
      </c>
      <c r="M129" s="53"/>
    </row>
    <row r="130" customFormat="false" ht="15" hidden="false" customHeight="false" outlineLevel="0" collapsed="false">
      <c r="A130" s="47" t="str">
        <f aca="false">IF(B130="","",A129+1)</f>
        <v/>
      </c>
      <c r="B130" s="48"/>
      <c r="C130" s="49"/>
      <c r="D130" s="50"/>
      <c r="E130" s="49"/>
      <c r="F130" s="49"/>
      <c r="G130" s="48"/>
      <c r="H130" s="48"/>
      <c r="I130" s="48"/>
      <c r="J130" s="48"/>
      <c r="K130" s="51"/>
      <c r="L130" s="52" t="n">
        <f aca="false">IFERROR(J130*K130,"")</f>
        <v>0</v>
      </c>
      <c r="M130" s="53"/>
    </row>
    <row r="131" customFormat="false" ht="15" hidden="false" customHeight="false" outlineLevel="0" collapsed="false">
      <c r="A131" s="47" t="str">
        <f aca="false">IF(B131="","",A130+1)</f>
        <v/>
      </c>
      <c r="B131" s="48"/>
      <c r="C131" s="49"/>
      <c r="D131" s="50"/>
      <c r="E131" s="49"/>
      <c r="F131" s="49"/>
      <c r="G131" s="48"/>
      <c r="H131" s="48"/>
      <c r="I131" s="48"/>
      <c r="J131" s="48"/>
      <c r="K131" s="51"/>
      <c r="L131" s="52" t="n">
        <f aca="false">IFERROR(J131*K131,"")</f>
        <v>0</v>
      </c>
      <c r="M131" s="53"/>
    </row>
    <row r="132" customFormat="false" ht="15" hidden="false" customHeight="false" outlineLevel="0" collapsed="false">
      <c r="A132" s="47" t="str">
        <f aca="false">IF(B132="","",A131+1)</f>
        <v/>
      </c>
      <c r="B132" s="48"/>
      <c r="C132" s="49"/>
      <c r="D132" s="50"/>
      <c r="E132" s="49"/>
      <c r="F132" s="49"/>
      <c r="G132" s="48"/>
      <c r="H132" s="48"/>
      <c r="I132" s="48"/>
      <c r="J132" s="48"/>
      <c r="K132" s="51"/>
      <c r="L132" s="52" t="n">
        <f aca="false">IFERROR(J132*K132,"")</f>
        <v>0</v>
      </c>
      <c r="M132" s="53"/>
    </row>
    <row r="133" customFormat="false" ht="15" hidden="false" customHeight="false" outlineLevel="0" collapsed="false">
      <c r="A133" s="47" t="str">
        <f aca="false">IF(B133="","",A132+1)</f>
        <v/>
      </c>
      <c r="B133" s="48"/>
      <c r="C133" s="49"/>
      <c r="D133" s="50"/>
      <c r="E133" s="49"/>
      <c r="F133" s="49"/>
      <c r="G133" s="48"/>
      <c r="H133" s="48"/>
      <c r="I133" s="48"/>
      <c r="J133" s="48"/>
      <c r="K133" s="51"/>
      <c r="L133" s="52" t="n">
        <f aca="false">IFERROR(J133*K133,"")</f>
        <v>0</v>
      </c>
      <c r="M133" s="53"/>
    </row>
    <row r="134" customFormat="false" ht="15" hidden="false" customHeight="false" outlineLevel="0" collapsed="false">
      <c r="A134" s="47" t="str">
        <f aca="false">IF(B134="","",A133+1)</f>
        <v/>
      </c>
      <c r="B134" s="48"/>
      <c r="C134" s="49"/>
      <c r="D134" s="50"/>
      <c r="E134" s="49"/>
      <c r="F134" s="49"/>
      <c r="G134" s="48"/>
      <c r="H134" s="48"/>
      <c r="I134" s="48"/>
      <c r="J134" s="48"/>
      <c r="K134" s="51"/>
      <c r="L134" s="52" t="n">
        <f aca="false">IFERROR(J134*K134,"")</f>
        <v>0</v>
      </c>
      <c r="M134" s="53"/>
    </row>
    <row r="135" customFormat="false" ht="15" hidden="false" customHeight="false" outlineLevel="0" collapsed="false">
      <c r="A135" s="47" t="str">
        <f aca="false">IF(B135="","",A134+1)</f>
        <v/>
      </c>
      <c r="B135" s="48"/>
      <c r="C135" s="49"/>
      <c r="D135" s="50"/>
      <c r="E135" s="49"/>
      <c r="F135" s="49"/>
      <c r="G135" s="48"/>
      <c r="H135" s="48"/>
      <c r="I135" s="48"/>
      <c r="J135" s="48"/>
      <c r="K135" s="51"/>
      <c r="L135" s="52" t="n">
        <f aca="false">IFERROR(J135*K135,"")</f>
        <v>0</v>
      </c>
      <c r="M135" s="53"/>
    </row>
    <row r="136" customFormat="false" ht="15" hidden="false" customHeight="false" outlineLevel="0" collapsed="false">
      <c r="A136" s="47" t="str">
        <f aca="false">IF(B136="","",A135+1)</f>
        <v/>
      </c>
      <c r="B136" s="48"/>
      <c r="C136" s="49"/>
      <c r="D136" s="50"/>
      <c r="E136" s="49"/>
      <c r="F136" s="49"/>
      <c r="G136" s="48"/>
      <c r="H136" s="48"/>
      <c r="I136" s="48"/>
      <c r="J136" s="48"/>
      <c r="K136" s="51"/>
      <c r="L136" s="52" t="n">
        <f aca="false">IFERROR(J136*K136,"")</f>
        <v>0</v>
      </c>
      <c r="M136" s="53"/>
    </row>
    <row r="137" customFormat="false" ht="15" hidden="false" customHeight="false" outlineLevel="0" collapsed="false">
      <c r="A137" s="47" t="str">
        <f aca="false">IF(B137="","",A136+1)</f>
        <v/>
      </c>
      <c r="B137" s="48"/>
      <c r="C137" s="49"/>
      <c r="D137" s="50"/>
      <c r="E137" s="49"/>
      <c r="F137" s="49"/>
      <c r="G137" s="48"/>
      <c r="H137" s="48"/>
      <c r="I137" s="48"/>
      <c r="J137" s="48"/>
      <c r="K137" s="51"/>
      <c r="L137" s="52" t="n">
        <f aca="false">IFERROR(J137*K137,"")</f>
        <v>0</v>
      </c>
      <c r="M137" s="53"/>
    </row>
    <row r="138" customFormat="false" ht="15" hidden="false" customHeight="false" outlineLevel="0" collapsed="false">
      <c r="A138" s="47" t="str">
        <f aca="false">IF(B138="","",A137+1)</f>
        <v/>
      </c>
      <c r="B138" s="48"/>
      <c r="C138" s="49"/>
      <c r="D138" s="50"/>
      <c r="E138" s="49"/>
      <c r="F138" s="49"/>
      <c r="G138" s="48"/>
      <c r="H138" s="48"/>
      <c r="I138" s="48"/>
      <c r="J138" s="48"/>
      <c r="K138" s="51"/>
      <c r="L138" s="52" t="n">
        <f aca="false">IFERROR(J138*K138,"")</f>
        <v>0</v>
      </c>
      <c r="M138" s="53"/>
    </row>
    <row r="139" customFormat="false" ht="15" hidden="false" customHeight="false" outlineLevel="0" collapsed="false">
      <c r="A139" s="47" t="str">
        <f aca="false">IF(B139="","",A138+1)</f>
        <v/>
      </c>
      <c r="B139" s="48"/>
      <c r="C139" s="49"/>
      <c r="D139" s="50"/>
      <c r="E139" s="49"/>
      <c r="F139" s="49"/>
      <c r="G139" s="48"/>
      <c r="H139" s="48"/>
      <c r="I139" s="48"/>
      <c r="J139" s="48"/>
      <c r="K139" s="51"/>
      <c r="L139" s="52" t="n">
        <f aca="false">IFERROR(J139*K139,"")</f>
        <v>0</v>
      </c>
      <c r="M139" s="53"/>
    </row>
    <row r="140" customFormat="false" ht="15" hidden="false" customHeight="false" outlineLevel="0" collapsed="false">
      <c r="A140" s="47" t="str">
        <f aca="false">IF(B140="","",A139+1)</f>
        <v/>
      </c>
      <c r="B140" s="48"/>
      <c r="C140" s="49"/>
      <c r="D140" s="50"/>
      <c r="E140" s="49"/>
      <c r="F140" s="49"/>
      <c r="G140" s="48"/>
      <c r="H140" s="48"/>
      <c r="I140" s="48"/>
      <c r="J140" s="48"/>
      <c r="K140" s="51"/>
      <c r="L140" s="52" t="n">
        <f aca="false">IFERROR(J140*K140,"")</f>
        <v>0</v>
      </c>
      <c r="M140" s="53"/>
    </row>
    <row r="141" customFormat="false" ht="15" hidden="false" customHeight="false" outlineLevel="0" collapsed="false">
      <c r="A141" s="47" t="str">
        <f aca="false">IF(B141="","",A140+1)</f>
        <v/>
      </c>
      <c r="B141" s="48"/>
      <c r="C141" s="49"/>
      <c r="D141" s="50"/>
      <c r="E141" s="49"/>
      <c r="F141" s="49"/>
      <c r="G141" s="48"/>
      <c r="H141" s="48"/>
      <c r="I141" s="48"/>
      <c r="J141" s="48"/>
      <c r="K141" s="51"/>
      <c r="L141" s="52" t="n">
        <f aca="false">IFERROR(J141*K141,"")</f>
        <v>0</v>
      </c>
      <c r="M141" s="53"/>
    </row>
    <row r="142" customFormat="false" ht="15" hidden="false" customHeight="false" outlineLevel="0" collapsed="false">
      <c r="A142" s="47" t="str">
        <f aca="false">IF(B142="","",A141+1)</f>
        <v/>
      </c>
      <c r="B142" s="48"/>
      <c r="C142" s="49"/>
      <c r="D142" s="50"/>
      <c r="E142" s="49"/>
      <c r="F142" s="49"/>
      <c r="G142" s="48"/>
      <c r="H142" s="48"/>
      <c r="I142" s="48"/>
      <c r="J142" s="48"/>
      <c r="K142" s="51"/>
      <c r="L142" s="52" t="n">
        <f aca="false">IFERROR(J142*K142,"")</f>
        <v>0</v>
      </c>
      <c r="M142" s="53"/>
    </row>
    <row r="143" customFormat="false" ht="15" hidden="false" customHeight="false" outlineLevel="0" collapsed="false">
      <c r="A143" s="47" t="str">
        <f aca="false">IF(B143="","",A142+1)</f>
        <v/>
      </c>
      <c r="B143" s="48"/>
      <c r="C143" s="49"/>
      <c r="D143" s="50"/>
      <c r="E143" s="49"/>
      <c r="F143" s="49"/>
      <c r="G143" s="48"/>
      <c r="H143" s="48"/>
      <c r="I143" s="48"/>
      <c r="J143" s="48"/>
      <c r="K143" s="51"/>
      <c r="L143" s="52" t="n">
        <f aca="false">IFERROR(J143*K143,"")</f>
        <v>0</v>
      </c>
      <c r="M143" s="53"/>
    </row>
    <row r="144" customFormat="false" ht="15" hidden="false" customHeight="false" outlineLevel="0" collapsed="false">
      <c r="A144" s="47" t="str">
        <f aca="false">IF(B144="","",A143+1)</f>
        <v/>
      </c>
      <c r="B144" s="48"/>
      <c r="C144" s="49"/>
      <c r="D144" s="50"/>
      <c r="E144" s="49"/>
      <c r="F144" s="49"/>
      <c r="G144" s="48"/>
      <c r="H144" s="48"/>
      <c r="I144" s="48"/>
      <c r="J144" s="48"/>
      <c r="K144" s="51"/>
      <c r="L144" s="52" t="n">
        <f aca="false">IFERROR(J144*K144,"")</f>
        <v>0</v>
      </c>
      <c r="M144" s="53"/>
    </row>
    <row r="145" customFormat="false" ht="15" hidden="false" customHeight="false" outlineLevel="0" collapsed="false">
      <c r="A145" s="47" t="str">
        <f aca="false">IF(B145="","",A144+1)</f>
        <v/>
      </c>
      <c r="B145" s="48"/>
      <c r="C145" s="49"/>
      <c r="D145" s="50"/>
      <c r="E145" s="49"/>
      <c r="F145" s="49"/>
      <c r="G145" s="48"/>
      <c r="H145" s="48"/>
      <c r="I145" s="48"/>
      <c r="J145" s="48"/>
      <c r="K145" s="51"/>
      <c r="L145" s="52" t="n">
        <f aca="false">IFERROR(J145*K145,"")</f>
        <v>0</v>
      </c>
      <c r="M145" s="53"/>
    </row>
    <row r="146" customFormat="false" ht="15" hidden="false" customHeight="false" outlineLevel="0" collapsed="false">
      <c r="A146" s="47" t="str">
        <f aca="false">IF(B146="","",A145+1)</f>
        <v/>
      </c>
      <c r="B146" s="48"/>
      <c r="C146" s="49"/>
      <c r="D146" s="50"/>
      <c r="E146" s="49"/>
      <c r="F146" s="49"/>
      <c r="G146" s="48"/>
      <c r="H146" s="48"/>
      <c r="I146" s="48"/>
      <c r="J146" s="48"/>
      <c r="K146" s="51"/>
      <c r="L146" s="52" t="n">
        <f aca="false">IFERROR(J146*K146,"")</f>
        <v>0</v>
      </c>
      <c r="M146" s="53"/>
    </row>
    <row r="147" customFormat="false" ht="15" hidden="false" customHeight="false" outlineLevel="0" collapsed="false">
      <c r="A147" s="47" t="str">
        <f aca="false">IF(B147="","",A146+1)</f>
        <v/>
      </c>
      <c r="B147" s="48"/>
      <c r="C147" s="49"/>
      <c r="D147" s="50"/>
      <c r="E147" s="49"/>
      <c r="F147" s="49"/>
      <c r="G147" s="48"/>
      <c r="H147" s="48"/>
      <c r="I147" s="48"/>
      <c r="J147" s="48"/>
      <c r="K147" s="51"/>
      <c r="L147" s="52" t="n">
        <f aca="false">IFERROR(J147*K147,"")</f>
        <v>0</v>
      </c>
      <c r="M147" s="53"/>
    </row>
    <row r="148" customFormat="false" ht="15" hidden="false" customHeight="false" outlineLevel="0" collapsed="false">
      <c r="A148" s="47" t="str">
        <f aca="false">IF(B148="","",A147+1)</f>
        <v/>
      </c>
      <c r="B148" s="48"/>
      <c r="C148" s="49"/>
      <c r="D148" s="50"/>
      <c r="E148" s="49"/>
      <c r="F148" s="49"/>
      <c r="G148" s="48"/>
      <c r="H148" s="48"/>
      <c r="I148" s="48"/>
      <c r="J148" s="48"/>
      <c r="K148" s="51"/>
      <c r="L148" s="52" t="n">
        <f aca="false">IFERROR(J148*K148,"")</f>
        <v>0</v>
      </c>
      <c r="M148" s="53"/>
    </row>
    <row r="149" customFormat="false" ht="15" hidden="false" customHeight="false" outlineLevel="0" collapsed="false">
      <c r="A149" s="47" t="str">
        <f aca="false">IF(B149="","",A148+1)</f>
        <v/>
      </c>
      <c r="B149" s="48"/>
      <c r="C149" s="49"/>
      <c r="D149" s="50"/>
      <c r="E149" s="49"/>
      <c r="F149" s="49"/>
      <c r="G149" s="48"/>
      <c r="H149" s="48"/>
      <c r="I149" s="48"/>
      <c r="J149" s="48"/>
      <c r="K149" s="51"/>
      <c r="L149" s="52" t="n">
        <f aca="false">IFERROR(J149*K149,"")</f>
        <v>0</v>
      </c>
      <c r="M149" s="53"/>
    </row>
    <row r="150" customFormat="false" ht="15" hidden="false" customHeight="false" outlineLevel="0" collapsed="false">
      <c r="A150" s="47" t="str">
        <f aca="false">IF(B150="","",A149+1)</f>
        <v/>
      </c>
      <c r="B150" s="48"/>
      <c r="C150" s="49"/>
      <c r="D150" s="50"/>
      <c r="E150" s="49"/>
      <c r="F150" s="49"/>
      <c r="G150" s="48"/>
      <c r="H150" s="48"/>
      <c r="I150" s="48"/>
      <c r="J150" s="48"/>
      <c r="K150" s="51"/>
      <c r="L150" s="52" t="n">
        <f aca="false">IFERROR(J150*K150,"")</f>
        <v>0</v>
      </c>
      <c r="M150" s="53"/>
    </row>
    <row r="151" customFormat="false" ht="15" hidden="false" customHeight="false" outlineLevel="0" collapsed="false">
      <c r="A151" s="47" t="str">
        <f aca="false">IF(B151="","",A150+1)</f>
        <v/>
      </c>
      <c r="B151" s="48"/>
      <c r="C151" s="49"/>
      <c r="D151" s="50"/>
      <c r="E151" s="49"/>
      <c r="F151" s="49"/>
      <c r="G151" s="48"/>
      <c r="H151" s="48"/>
      <c r="I151" s="48"/>
      <c r="J151" s="48"/>
      <c r="K151" s="51"/>
      <c r="L151" s="52" t="n">
        <f aca="false">IFERROR(J151*K151,"")</f>
        <v>0</v>
      </c>
      <c r="M151" s="53"/>
    </row>
    <row r="152" customFormat="false" ht="15" hidden="false" customHeight="false" outlineLevel="0" collapsed="false">
      <c r="A152" s="47" t="str">
        <f aca="false">IF(B152="","",A151+1)</f>
        <v/>
      </c>
      <c r="B152" s="48"/>
      <c r="C152" s="49"/>
      <c r="D152" s="50"/>
      <c r="E152" s="49"/>
      <c r="F152" s="49"/>
      <c r="G152" s="48"/>
      <c r="H152" s="48"/>
      <c r="I152" s="48"/>
      <c r="J152" s="48"/>
      <c r="K152" s="51"/>
      <c r="L152" s="52" t="n">
        <f aca="false">IFERROR(J152*K152,"")</f>
        <v>0</v>
      </c>
      <c r="M152" s="53"/>
    </row>
    <row r="153" customFormat="false" ht="15" hidden="false" customHeight="false" outlineLevel="0" collapsed="false">
      <c r="A153" s="47" t="str">
        <f aca="false">IF(B153="","",A152+1)</f>
        <v/>
      </c>
      <c r="B153" s="48"/>
      <c r="C153" s="49"/>
      <c r="D153" s="50"/>
      <c r="E153" s="49"/>
      <c r="F153" s="49"/>
      <c r="G153" s="48"/>
      <c r="H153" s="48"/>
      <c r="I153" s="48"/>
      <c r="J153" s="48"/>
      <c r="K153" s="51"/>
      <c r="L153" s="52" t="n">
        <f aca="false">IFERROR(J153*K153,"")</f>
        <v>0</v>
      </c>
      <c r="M153" s="53"/>
    </row>
    <row r="154" customFormat="false" ht="15" hidden="false" customHeight="false" outlineLevel="0" collapsed="false">
      <c r="A154" s="47" t="str">
        <f aca="false">IF(B154="","",A153+1)</f>
        <v/>
      </c>
      <c r="B154" s="48"/>
      <c r="C154" s="49"/>
      <c r="D154" s="50"/>
      <c r="E154" s="49"/>
      <c r="F154" s="49"/>
      <c r="G154" s="48"/>
      <c r="H154" s="48"/>
      <c r="I154" s="48"/>
      <c r="J154" s="48"/>
      <c r="K154" s="51"/>
      <c r="L154" s="52" t="n">
        <f aca="false">IFERROR(J154*K154,"")</f>
        <v>0</v>
      </c>
      <c r="M154" s="53"/>
    </row>
    <row r="155" customFormat="false" ht="15" hidden="false" customHeight="false" outlineLevel="0" collapsed="false">
      <c r="A155" s="47" t="str">
        <f aca="false">IF(B155="","",A154+1)</f>
        <v/>
      </c>
      <c r="B155" s="48"/>
      <c r="C155" s="49"/>
      <c r="D155" s="50"/>
      <c r="E155" s="49"/>
      <c r="F155" s="49"/>
      <c r="G155" s="48"/>
      <c r="H155" s="48"/>
      <c r="I155" s="48"/>
      <c r="J155" s="48"/>
      <c r="K155" s="51"/>
      <c r="L155" s="52" t="n">
        <f aca="false">IFERROR(J155*K155,"")</f>
        <v>0</v>
      </c>
      <c r="M155" s="53"/>
    </row>
    <row r="156" customFormat="false" ht="15" hidden="false" customHeight="false" outlineLevel="0" collapsed="false">
      <c r="A156" s="47" t="str">
        <f aca="false">IF(B156="","",A155+1)</f>
        <v/>
      </c>
      <c r="B156" s="48"/>
      <c r="C156" s="49"/>
      <c r="D156" s="50"/>
      <c r="E156" s="49"/>
      <c r="F156" s="49"/>
      <c r="G156" s="48"/>
      <c r="H156" s="48"/>
      <c r="I156" s="48"/>
      <c r="J156" s="48"/>
      <c r="K156" s="51"/>
      <c r="L156" s="52" t="n">
        <f aca="false">IFERROR(J156*K156,"")</f>
        <v>0</v>
      </c>
      <c r="M156" s="53"/>
    </row>
    <row r="157" customFormat="false" ht="15" hidden="false" customHeight="false" outlineLevel="0" collapsed="false">
      <c r="A157" s="47" t="str">
        <f aca="false">IF(B157="","",A156+1)</f>
        <v/>
      </c>
      <c r="B157" s="48"/>
      <c r="C157" s="49"/>
      <c r="D157" s="50"/>
      <c r="E157" s="49"/>
      <c r="F157" s="49"/>
      <c r="G157" s="48"/>
      <c r="H157" s="48"/>
      <c r="I157" s="48"/>
      <c r="J157" s="48"/>
      <c r="K157" s="51"/>
      <c r="L157" s="52" t="n">
        <f aca="false">IFERROR(J157*K157,"")</f>
        <v>0</v>
      </c>
      <c r="M157" s="53"/>
    </row>
    <row r="158" customFormat="false" ht="15" hidden="false" customHeight="false" outlineLevel="0" collapsed="false">
      <c r="A158" s="47" t="str">
        <f aca="false">IF(B158="","",A157+1)</f>
        <v/>
      </c>
      <c r="B158" s="48"/>
      <c r="C158" s="49"/>
      <c r="D158" s="50"/>
      <c r="E158" s="49"/>
      <c r="F158" s="49"/>
      <c r="G158" s="48"/>
      <c r="H158" s="48"/>
      <c r="I158" s="48"/>
      <c r="J158" s="48"/>
      <c r="K158" s="51"/>
      <c r="L158" s="52" t="n">
        <f aca="false">IFERROR(J158*K158,"")</f>
        <v>0</v>
      </c>
      <c r="M158" s="53"/>
    </row>
    <row r="159" customFormat="false" ht="15" hidden="false" customHeight="false" outlineLevel="0" collapsed="false">
      <c r="A159" s="47" t="str">
        <f aca="false">IF(B159="","",A158+1)</f>
        <v/>
      </c>
      <c r="B159" s="48"/>
      <c r="C159" s="49"/>
      <c r="D159" s="50"/>
      <c r="E159" s="49"/>
      <c r="F159" s="49"/>
      <c r="G159" s="48"/>
      <c r="H159" s="48"/>
      <c r="I159" s="48"/>
      <c r="J159" s="48"/>
      <c r="K159" s="51"/>
      <c r="L159" s="52" t="n">
        <f aca="false">IFERROR(J159*K159,"")</f>
        <v>0</v>
      </c>
      <c r="M159" s="53"/>
    </row>
    <row r="160" customFormat="false" ht="15" hidden="false" customHeight="false" outlineLevel="0" collapsed="false">
      <c r="A160" s="47" t="str">
        <f aca="false">IF(B160="","",A159+1)</f>
        <v/>
      </c>
      <c r="B160" s="48"/>
      <c r="C160" s="49"/>
      <c r="D160" s="50"/>
      <c r="E160" s="49"/>
      <c r="F160" s="49"/>
      <c r="G160" s="48"/>
      <c r="H160" s="48"/>
      <c r="I160" s="48"/>
      <c r="J160" s="48"/>
      <c r="K160" s="51"/>
      <c r="L160" s="52" t="n">
        <f aca="false">IFERROR(J160*K160,"")</f>
        <v>0</v>
      </c>
      <c r="M160" s="53"/>
    </row>
    <row r="161" customFormat="false" ht="15" hidden="false" customHeight="false" outlineLevel="0" collapsed="false">
      <c r="A161" s="47" t="str">
        <f aca="false">IF(B161="","",A160+1)</f>
        <v/>
      </c>
      <c r="B161" s="48"/>
      <c r="C161" s="49"/>
      <c r="D161" s="50"/>
      <c r="E161" s="49"/>
      <c r="F161" s="49"/>
      <c r="G161" s="48"/>
      <c r="H161" s="48"/>
      <c r="I161" s="48"/>
      <c r="J161" s="48"/>
      <c r="K161" s="51"/>
      <c r="L161" s="52" t="n">
        <f aca="false">IFERROR(J161*K161,"")</f>
        <v>0</v>
      </c>
      <c r="M161" s="53"/>
    </row>
    <row r="162" customFormat="false" ht="15" hidden="false" customHeight="false" outlineLevel="0" collapsed="false">
      <c r="A162" s="47" t="str">
        <f aca="false">IF(B162="","",A161+1)</f>
        <v/>
      </c>
      <c r="B162" s="48"/>
      <c r="C162" s="49"/>
      <c r="D162" s="50"/>
      <c r="E162" s="49"/>
      <c r="F162" s="49"/>
      <c r="G162" s="48"/>
      <c r="H162" s="48"/>
      <c r="I162" s="48"/>
      <c r="J162" s="48"/>
      <c r="K162" s="51"/>
      <c r="L162" s="52" t="n">
        <f aca="false">IFERROR(J162*K162,"")</f>
        <v>0</v>
      </c>
      <c r="M162" s="53"/>
    </row>
    <row r="163" customFormat="false" ht="15" hidden="false" customHeight="false" outlineLevel="0" collapsed="false">
      <c r="A163" s="47" t="str">
        <f aca="false">IF(B163="","",A162+1)</f>
        <v/>
      </c>
      <c r="B163" s="48"/>
      <c r="C163" s="49"/>
      <c r="D163" s="50"/>
      <c r="E163" s="49"/>
      <c r="F163" s="49"/>
      <c r="G163" s="48"/>
      <c r="H163" s="48"/>
      <c r="I163" s="48"/>
      <c r="J163" s="48"/>
      <c r="K163" s="51"/>
      <c r="L163" s="52" t="n">
        <f aca="false">IFERROR(J163*K163,"")</f>
        <v>0</v>
      </c>
      <c r="M163" s="53"/>
    </row>
    <row r="164" customFormat="false" ht="15" hidden="false" customHeight="false" outlineLevel="0" collapsed="false">
      <c r="A164" s="47" t="str">
        <f aca="false">IF(B164="","",A163+1)</f>
        <v/>
      </c>
      <c r="B164" s="48"/>
      <c r="C164" s="49"/>
      <c r="D164" s="50"/>
      <c r="E164" s="49"/>
      <c r="F164" s="49"/>
      <c r="G164" s="48"/>
      <c r="H164" s="48"/>
      <c r="I164" s="48"/>
      <c r="J164" s="48"/>
      <c r="K164" s="51"/>
      <c r="L164" s="52" t="n">
        <f aca="false">IFERROR(J164*K164,"")</f>
        <v>0</v>
      </c>
      <c r="M164" s="53"/>
    </row>
    <row r="165" customFormat="false" ht="15" hidden="false" customHeight="false" outlineLevel="0" collapsed="false">
      <c r="A165" s="47" t="str">
        <f aca="false">IF(B165="","",A164+1)</f>
        <v/>
      </c>
      <c r="B165" s="48"/>
      <c r="C165" s="49"/>
      <c r="D165" s="50"/>
      <c r="E165" s="49"/>
      <c r="F165" s="49"/>
      <c r="G165" s="48"/>
      <c r="H165" s="48"/>
      <c r="I165" s="48"/>
      <c r="J165" s="48"/>
      <c r="K165" s="51"/>
      <c r="L165" s="52" t="n">
        <f aca="false">IFERROR(J165*K165,"")</f>
        <v>0</v>
      </c>
      <c r="M165" s="53"/>
    </row>
    <row r="166" customFormat="false" ht="15" hidden="false" customHeight="false" outlineLevel="0" collapsed="false">
      <c r="A166" s="47" t="str">
        <f aca="false">IF(B166="","",A165+1)</f>
        <v/>
      </c>
      <c r="B166" s="48"/>
      <c r="C166" s="49"/>
      <c r="D166" s="50"/>
      <c r="E166" s="49"/>
      <c r="F166" s="49"/>
      <c r="G166" s="48"/>
      <c r="H166" s="48"/>
      <c r="I166" s="48"/>
      <c r="J166" s="48"/>
      <c r="K166" s="51"/>
      <c r="L166" s="52" t="n">
        <f aca="false">IFERROR(J166*K166,"")</f>
        <v>0</v>
      </c>
      <c r="M166" s="53"/>
    </row>
    <row r="167" customFormat="false" ht="15" hidden="false" customHeight="false" outlineLevel="0" collapsed="false">
      <c r="A167" s="47" t="str">
        <f aca="false">IF(B167="","",A166+1)</f>
        <v/>
      </c>
      <c r="B167" s="48"/>
      <c r="C167" s="49"/>
      <c r="D167" s="50"/>
      <c r="E167" s="49"/>
      <c r="F167" s="49"/>
      <c r="G167" s="48"/>
      <c r="H167" s="48"/>
      <c r="I167" s="48"/>
      <c r="J167" s="48"/>
      <c r="K167" s="51"/>
      <c r="L167" s="52" t="n">
        <f aca="false">IFERROR(J167*K167,"")</f>
        <v>0</v>
      </c>
      <c r="M167" s="53"/>
    </row>
    <row r="168" customFormat="false" ht="15" hidden="false" customHeight="false" outlineLevel="0" collapsed="false">
      <c r="A168" s="47" t="str">
        <f aca="false">IF(B168="","",A167+1)</f>
        <v/>
      </c>
      <c r="B168" s="48"/>
      <c r="C168" s="49"/>
      <c r="D168" s="50"/>
      <c r="E168" s="49"/>
      <c r="F168" s="49"/>
      <c r="G168" s="48"/>
      <c r="H168" s="48"/>
      <c r="I168" s="48"/>
      <c r="J168" s="48"/>
      <c r="K168" s="51"/>
      <c r="L168" s="52" t="n">
        <f aca="false">IFERROR(J168*K168,"")</f>
        <v>0</v>
      </c>
      <c r="M168" s="53"/>
    </row>
    <row r="169" customFormat="false" ht="15" hidden="false" customHeight="false" outlineLevel="0" collapsed="false">
      <c r="A169" s="47" t="str">
        <f aca="false">IF(B169="","",A168+1)</f>
        <v/>
      </c>
      <c r="B169" s="48"/>
      <c r="C169" s="49"/>
      <c r="D169" s="50"/>
      <c r="E169" s="49"/>
      <c r="F169" s="49"/>
      <c r="G169" s="48"/>
      <c r="H169" s="48"/>
      <c r="I169" s="48"/>
      <c r="J169" s="48"/>
      <c r="K169" s="51"/>
      <c r="L169" s="52" t="n">
        <f aca="false">IFERROR(J169*K169,"")</f>
        <v>0</v>
      </c>
      <c r="M169" s="53"/>
    </row>
    <row r="170" customFormat="false" ht="15" hidden="false" customHeight="false" outlineLevel="0" collapsed="false">
      <c r="A170" s="47" t="str">
        <f aca="false">IF(B170="","",A169+1)</f>
        <v/>
      </c>
      <c r="B170" s="48"/>
      <c r="C170" s="49"/>
      <c r="D170" s="50"/>
      <c r="E170" s="49"/>
      <c r="F170" s="49"/>
      <c r="G170" s="48"/>
      <c r="H170" s="48"/>
      <c r="I170" s="48"/>
      <c r="J170" s="48"/>
      <c r="K170" s="51"/>
      <c r="L170" s="52" t="n">
        <f aca="false">IFERROR(J170*K170,"")</f>
        <v>0</v>
      </c>
      <c r="M170" s="53"/>
    </row>
    <row r="171" customFormat="false" ht="15" hidden="false" customHeight="false" outlineLevel="0" collapsed="false">
      <c r="A171" s="47" t="str">
        <f aca="false">IF(B171="","",A170+1)</f>
        <v/>
      </c>
      <c r="B171" s="48"/>
      <c r="C171" s="49"/>
      <c r="D171" s="50"/>
      <c r="E171" s="49"/>
      <c r="F171" s="49"/>
      <c r="G171" s="48"/>
      <c r="H171" s="48"/>
      <c r="I171" s="48"/>
      <c r="J171" s="48"/>
      <c r="K171" s="51"/>
      <c r="L171" s="52" t="n">
        <f aca="false">IFERROR(J171*K171,"")</f>
        <v>0</v>
      </c>
      <c r="M171" s="53"/>
    </row>
    <row r="172" customFormat="false" ht="15" hidden="false" customHeight="false" outlineLevel="0" collapsed="false">
      <c r="A172" s="47" t="str">
        <f aca="false">IF(B172="","",A171+1)</f>
        <v/>
      </c>
      <c r="B172" s="48"/>
      <c r="C172" s="49"/>
      <c r="D172" s="50"/>
      <c r="E172" s="49"/>
      <c r="F172" s="49"/>
      <c r="G172" s="48"/>
      <c r="H172" s="48"/>
      <c r="I172" s="48"/>
      <c r="J172" s="48"/>
      <c r="K172" s="51"/>
      <c r="L172" s="52" t="n">
        <f aca="false">IFERROR(J172*K172,"")</f>
        <v>0</v>
      </c>
      <c r="M172" s="53"/>
    </row>
    <row r="173" customFormat="false" ht="15" hidden="false" customHeight="false" outlineLevel="0" collapsed="false">
      <c r="A173" s="47" t="str">
        <f aca="false">IF(B173="","",A172+1)</f>
        <v/>
      </c>
      <c r="B173" s="48"/>
      <c r="C173" s="49"/>
      <c r="D173" s="50"/>
      <c r="E173" s="49"/>
      <c r="F173" s="49"/>
      <c r="G173" s="48"/>
      <c r="H173" s="48"/>
      <c r="I173" s="48"/>
      <c r="J173" s="48"/>
      <c r="K173" s="51"/>
      <c r="L173" s="52" t="n">
        <f aca="false">IFERROR(J173*K173,"")</f>
        <v>0</v>
      </c>
      <c r="M173" s="53"/>
    </row>
    <row r="174" customFormat="false" ht="15" hidden="false" customHeight="false" outlineLevel="0" collapsed="false">
      <c r="A174" s="47" t="str">
        <f aca="false">IF(B174="","",A173+1)</f>
        <v/>
      </c>
      <c r="B174" s="48"/>
      <c r="C174" s="49"/>
      <c r="D174" s="50"/>
      <c r="E174" s="49"/>
      <c r="F174" s="49"/>
      <c r="G174" s="48"/>
      <c r="H174" s="48"/>
      <c r="I174" s="48"/>
      <c r="J174" s="48"/>
      <c r="K174" s="51"/>
      <c r="L174" s="52" t="n">
        <f aca="false">IFERROR(J174*K174,"")</f>
        <v>0</v>
      </c>
      <c r="M174" s="53"/>
    </row>
    <row r="175" customFormat="false" ht="15" hidden="false" customHeight="false" outlineLevel="0" collapsed="false">
      <c r="A175" s="47" t="str">
        <f aca="false">IF(B175="","",A174+1)</f>
        <v/>
      </c>
      <c r="B175" s="48"/>
      <c r="C175" s="49"/>
      <c r="D175" s="50"/>
      <c r="E175" s="49"/>
      <c r="F175" s="49"/>
      <c r="G175" s="48"/>
      <c r="H175" s="48"/>
      <c r="I175" s="48"/>
      <c r="J175" s="48"/>
      <c r="K175" s="51"/>
      <c r="L175" s="52" t="n">
        <f aca="false">IFERROR(J175*K175,"")</f>
        <v>0</v>
      </c>
      <c r="M175" s="53"/>
    </row>
    <row r="176" customFormat="false" ht="15" hidden="false" customHeight="false" outlineLevel="0" collapsed="false">
      <c r="A176" s="47" t="str">
        <f aca="false">IF(B176="","",A175+1)</f>
        <v/>
      </c>
      <c r="B176" s="48"/>
      <c r="C176" s="49"/>
      <c r="D176" s="50"/>
      <c r="E176" s="49"/>
      <c r="F176" s="49"/>
      <c r="G176" s="48"/>
      <c r="H176" s="48"/>
      <c r="I176" s="48"/>
      <c r="J176" s="48"/>
      <c r="K176" s="51"/>
      <c r="L176" s="52" t="n">
        <f aca="false">IFERROR(J176*K176,"")</f>
        <v>0</v>
      </c>
      <c r="M176" s="53"/>
    </row>
    <row r="177" customFormat="false" ht="15" hidden="false" customHeight="false" outlineLevel="0" collapsed="false">
      <c r="A177" s="47" t="str">
        <f aca="false">IF(B177="","",A176+1)</f>
        <v/>
      </c>
      <c r="B177" s="48"/>
      <c r="C177" s="49"/>
      <c r="D177" s="50"/>
      <c r="E177" s="49"/>
      <c r="F177" s="49"/>
      <c r="G177" s="48"/>
      <c r="H177" s="48"/>
      <c r="I177" s="48"/>
      <c r="J177" s="48"/>
      <c r="K177" s="51"/>
      <c r="L177" s="52" t="n">
        <f aca="false">IFERROR(J177*K177,"")</f>
        <v>0</v>
      </c>
      <c r="M177" s="53"/>
    </row>
    <row r="178" customFormat="false" ht="15" hidden="false" customHeight="false" outlineLevel="0" collapsed="false">
      <c r="A178" s="47" t="str">
        <f aca="false">IF(B178="","",A177+1)</f>
        <v/>
      </c>
      <c r="B178" s="48"/>
      <c r="C178" s="49"/>
      <c r="D178" s="50"/>
      <c r="E178" s="49"/>
      <c r="F178" s="49"/>
      <c r="G178" s="48"/>
      <c r="H178" s="48"/>
      <c r="I178" s="48"/>
      <c r="J178" s="48"/>
      <c r="K178" s="51"/>
      <c r="L178" s="52" t="n">
        <f aca="false">IFERROR(J178*K178,"")</f>
        <v>0</v>
      </c>
      <c r="M178" s="53"/>
    </row>
    <row r="179" customFormat="false" ht="15" hidden="false" customHeight="false" outlineLevel="0" collapsed="false">
      <c r="A179" s="47" t="str">
        <f aca="false">IF(B179="","",A178+1)</f>
        <v/>
      </c>
      <c r="B179" s="48"/>
      <c r="C179" s="49"/>
      <c r="D179" s="50"/>
      <c r="E179" s="49"/>
      <c r="F179" s="49"/>
      <c r="G179" s="48"/>
      <c r="H179" s="48"/>
      <c r="I179" s="48"/>
      <c r="J179" s="48"/>
      <c r="K179" s="51"/>
      <c r="L179" s="52" t="n">
        <f aca="false">IFERROR(J179*K179,"")</f>
        <v>0</v>
      </c>
      <c r="M179" s="53"/>
    </row>
    <row r="180" customFormat="false" ht="15" hidden="false" customHeight="false" outlineLevel="0" collapsed="false">
      <c r="A180" s="47" t="str">
        <f aca="false">IF(B180="","",A179+1)</f>
        <v/>
      </c>
      <c r="B180" s="48"/>
      <c r="C180" s="49"/>
      <c r="D180" s="50"/>
      <c r="E180" s="49"/>
      <c r="F180" s="49"/>
      <c r="G180" s="48"/>
      <c r="H180" s="48"/>
      <c r="I180" s="48"/>
      <c r="J180" s="48"/>
      <c r="K180" s="51"/>
      <c r="L180" s="52" t="n">
        <f aca="false">IFERROR(J180*K180,"")</f>
        <v>0</v>
      </c>
      <c r="M180" s="53"/>
    </row>
    <row r="181" customFormat="false" ht="15" hidden="false" customHeight="false" outlineLevel="0" collapsed="false">
      <c r="A181" s="47" t="str">
        <f aca="false">IF(B181="","",A180+1)</f>
        <v/>
      </c>
      <c r="B181" s="48"/>
      <c r="C181" s="49"/>
      <c r="D181" s="50"/>
      <c r="E181" s="49"/>
      <c r="F181" s="49"/>
      <c r="G181" s="48"/>
      <c r="H181" s="48"/>
      <c r="I181" s="48"/>
      <c r="J181" s="48"/>
      <c r="K181" s="51"/>
      <c r="L181" s="52" t="n">
        <f aca="false">IFERROR(J181*K181,"")</f>
        <v>0</v>
      </c>
      <c r="M181" s="53"/>
    </row>
    <row r="182" customFormat="false" ht="15" hidden="false" customHeight="false" outlineLevel="0" collapsed="false">
      <c r="A182" s="47" t="str">
        <f aca="false">IF(B182="","",A181+1)</f>
        <v/>
      </c>
      <c r="B182" s="48"/>
      <c r="C182" s="49"/>
      <c r="D182" s="50"/>
      <c r="E182" s="49"/>
      <c r="F182" s="49"/>
      <c r="G182" s="48"/>
      <c r="H182" s="48"/>
      <c r="I182" s="48"/>
      <c r="J182" s="48"/>
      <c r="K182" s="51"/>
      <c r="L182" s="52" t="n">
        <f aca="false">IFERROR(J182*K182,"")</f>
        <v>0</v>
      </c>
      <c r="M182" s="53"/>
    </row>
    <row r="183" customFormat="false" ht="15" hidden="false" customHeight="false" outlineLevel="0" collapsed="false">
      <c r="A183" s="47" t="str">
        <f aca="false">IF(B183="","",A182+1)</f>
        <v/>
      </c>
      <c r="B183" s="48"/>
      <c r="C183" s="49"/>
      <c r="D183" s="50"/>
      <c r="E183" s="49"/>
      <c r="F183" s="49"/>
      <c r="G183" s="48"/>
      <c r="H183" s="48"/>
      <c r="I183" s="48"/>
      <c r="J183" s="48"/>
      <c r="K183" s="51"/>
      <c r="L183" s="52" t="n">
        <f aca="false">IFERROR(J183*K183,"")</f>
        <v>0</v>
      </c>
      <c r="M183" s="53"/>
    </row>
    <row r="184" customFormat="false" ht="15" hidden="false" customHeight="false" outlineLevel="0" collapsed="false">
      <c r="A184" s="47" t="str">
        <f aca="false">IF(B184="","",A183+1)</f>
        <v/>
      </c>
      <c r="B184" s="48"/>
      <c r="C184" s="49"/>
      <c r="D184" s="50"/>
      <c r="E184" s="49"/>
      <c r="F184" s="49"/>
      <c r="G184" s="48"/>
      <c r="H184" s="48"/>
      <c r="I184" s="48"/>
      <c r="J184" s="48"/>
      <c r="K184" s="51"/>
      <c r="L184" s="52" t="n">
        <f aca="false">IFERROR(J184*K184,"")</f>
        <v>0</v>
      </c>
      <c r="M184" s="53"/>
    </row>
    <row r="185" customFormat="false" ht="15" hidden="false" customHeight="false" outlineLevel="0" collapsed="false">
      <c r="A185" s="47" t="str">
        <f aca="false">IF(B185="","",A184+1)</f>
        <v/>
      </c>
      <c r="B185" s="48"/>
      <c r="C185" s="49"/>
      <c r="D185" s="50"/>
      <c r="E185" s="49"/>
      <c r="F185" s="49"/>
      <c r="G185" s="48"/>
      <c r="H185" s="48"/>
      <c r="I185" s="48"/>
      <c r="J185" s="48"/>
      <c r="K185" s="51"/>
      <c r="L185" s="52" t="n">
        <f aca="false">IFERROR(J185*K185,"")</f>
        <v>0</v>
      </c>
      <c r="M185" s="53"/>
    </row>
    <row r="186" customFormat="false" ht="15" hidden="false" customHeight="false" outlineLevel="0" collapsed="false">
      <c r="A186" s="47" t="str">
        <f aca="false">IF(B186="","",A185+1)</f>
        <v/>
      </c>
      <c r="B186" s="48"/>
      <c r="C186" s="49"/>
      <c r="D186" s="50"/>
      <c r="E186" s="49"/>
      <c r="F186" s="49"/>
      <c r="G186" s="48"/>
      <c r="H186" s="48"/>
      <c r="I186" s="48"/>
      <c r="J186" s="48"/>
      <c r="K186" s="51"/>
      <c r="L186" s="52" t="n">
        <f aca="false">IFERROR(J186*K186,"")</f>
        <v>0</v>
      </c>
      <c r="M186" s="53"/>
    </row>
    <row r="187" customFormat="false" ht="15" hidden="false" customHeight="false" outlineLevel="0" collapsed="false">
      <c r="A187" s="47" t="str">
        <f aca="false">IF(B187="","",A186+1)</f>
        <v/>
      </c>
      <c r="B187" s="48"/>
      <c r="C187" s="49"/>
      <c r="D187" s="50"/>
      <c r="E187" s="49"/>
      <c r="F187" s="49"/>
      <c r="G187" s="48"/>
      <c r="H187" s="48"/>
      <c r="I187" s="48"/>
      <c r="J187" s="48"/>
      <c r="K187" s="51"/>
      <c r="L187" s="52" t="n">
        <f aca="false">IFERROR(J187*K187,"")</f>
        <v>0</v>
      </c>
      <c r="M187" s="53"/>
    </row>
    <row r="188" customFormat="false" ht="15" hidden="false" customHeight="false" outlineLevel="0" collapsed="false">
      <c r="A188" s="47" t="str">
        <f aca="false">IF(B188="","",A187+1)</f>
        <v/>
      </c>
      <c r="B188" s="48"/>
      <c r="C188" s="49"/>
      <c r="D188" s="50"/>
      <c r="E188" s="49"/>
      <c r="F188" s="49"/>
      <c r="G188" s="48"/>
      <c r="H188" s="48"/>
      <c r="I188" s="48"/>
      <c r="J188" s="48"/>
      <c r="K188" s="51"/>
      <c r="L188" s="52" t="n">
        <f aca="false">IFERROR(J188*K188,"")</f>
        <v>0</v>
      </c>
      <c r="M188" s="53"/>
    </row>
    <row r="189" customFormat="false" ht="15" hidden="false" customHeight="false" outlineLevel="0" collapsed="false">
      <c r="A189" s="47" t="str">
        <f aca="false">IF(B189="","",A188+1)</f>
        <v/>
      </c>
      <c r="B189" s="48"/>
      <c r="C189" s="49"/>
      <c r="D189" s="50"/>
      <c r="E189" s="49"/>
      <c r="F189" s="49"/>
      <c r="G189" s="48"/>
      <c r="H189" s="48"/>
      <c r="I189" s="48"/>
      <c r="J189" s="48"/>
      <c r="K189" s="51"/>
      <c r="L189" s="52" t="n">
        <f aca="false">IFERROR(J189*K189,"")</f>
        <v>0</v>
      </c>
      <c r="M189" s="53"/>
    </row>
    <row r="190" customFormat="false" ht="15" hidden="false" customHeight="false" outlineLevel="0" collapsed="false">
      <c r="A190" s="47" t="str">
        <f aca="false">IF(B190="","",A189+1)</f>
        <v/>
      </c>
      <c r="B190" s="48"/>
      <c r="C190" s="49"/>
      <c r="D190" s="50"/>
      <c r="E190" s="49"/>
      <c r="F190" s="49"/>
      <c r="G190" s="48"/>
      <c r="H190" s="48"/>
      <c r="I190" s="48"/>
      <c r="J190" s="48"/>
      <c r="K190" s="51"/>
      <c r="L190" s="52" t="n">
        <f aca="false">IFERROR(J190*K190,"")</f>
        <v>0</v>
      </c>
      <c r="M190" s="53"/>
    </row>
    <row r="191" customFormat="false" ht="15" hidden="false" customHeight="false" outlineLevel="0" collapsed="false">
      <c r="A191" s="47" t="str">
        <f aca="false">IF(B191="","",A190+1)</f>
        <v/>
      </c>
      <c r="B191" s="48"/>
      <c r="C191" s="49"/>
      <c r="D191" s="50"/>
      <c r="E191" s="49"/>
      <c r="F191" s="49"/>
      <c r="G191" s="48"/>
      <c r="H191" s="48"/>
      <c r="I191" s="48"/>
      <c r="J191" s="48"/>
      <c r="K191" s="51"/>
      <c r="L191" s="52" t="n">
        <f aca="false">IFERROR(J191*K191,"")</f>
        <v>0</v>
      </c>
      <c r="M191" s="53"/>
    </row>
    <row r="192" customFormat="false" ht="15" hidden="false" customHeight="false" outlineLevel="0" collapsed="false">
      <c r="A192" s="47" t="str">
        <f aca="false">IF(B192="","",A191+1)</f>
        <v/>
      </c>
      <c r="B192" s="48"/>
      <c r="C192" s="49"/>
      <c r="D192" s="50"/>
      <c r="E192" s="49"/>
      <c r="F192" s="49"/>
      <c r="G192" s="48"/>
      <c r="H192" s="48"/>
      <c r="I192" s="48"/>
      <c r="J192" s="48"/>
      <c r="K192" s="51"/>
      <c r="L192" s="52" t="n">
        <f aca="false">IFERROR(J192*K192,"")</f>
        <v>0</v>
      </c>
      <c r="M192" s="53"/>
    </row>
    <row r="193" customFormat="false" ht="15" hidden="false" customHeight="false" outlineLevel="0" collapsed="false">
      <c r="A193" s="47" t="str">
        <f aca="false">IF(B193="","",A192+1)</f>
        <v/>
      </c>
      <c r="B193" s="48"/>
      <c r="C193" s="49"/>
      <c r="D193" s="50"/>
      <c r="E193" s="49"/>
      <c r="F193" s="49"/>
      <c r="G193" s="48"/>
      <c r="H193" s="48"/>
      <c r="I193" s="48"/>
      <c r="J193" s="48"/>
      <c r="K193" s="51"/>
      <c r="L193" s="52" t="n">
        <f aca="false">IFERROR(J193*K193,"")</f>
        <v>0</v>
      </c>
      <c r="M193" s="53"/>
    </row>
    <row r="194" customFormat="false" ht="15" hidden="false" customHeight="false" outlineLevel="0" collapsed="false">
      <c r="A194" s="47" t="str">
        <f aca="false">IF(B194="","",A193+1)</f>
        <v/>
      </c>
      <c r="B194" s="48"/>
      <c r="C194" s="49"/>
      <c r="D194" s="50"/>
      <c r="E194" s="49"/>
      <c r="F194" s="49"/>
      <c r="G194" s="48"/>
      <c r="H194" s="48"/>
      <c r="I194" s="48"/>
      <c r="J194" s="48"/>
      <c r="K194" s="51"/>
      <c r="L194" s="52" t="n">
        <f aca="false">IFERROR(J194*K194,"")</f>
        <v>0</v>
      </c>
      <c r="M194" s="53"/>
    </row>
    <row r="195" customFormat="false" ht="15" hidden="false" customHeight="false" outlineLevel="0" collapsed="false">
      <c r="A195" s="47" t="str">
        <f aca="false">IF(B195="","",A194+1)</f>
        <v/>
      </c>
      <c r="B195" s="48"/>
      <c r="C195" s="49"/>
      <c r="D195" s="50"/>
      <c r="E195" s="49"/>
      <c r="F195" s="49"/>
      <c r="G195" s="48"/>
      <c r="H195" s="48"/>
      <c r="I195" s="48"/>
      <c r="J195" s="48"/>
      <c r="K195" s="51"/>
      <c r="L195" s="52" t="n">
        <f aca="false">IFERROR(J195*K195,"")</f>
        <v>0</v>
      </c>
      <c r="M195" s="53"/>
    </row>
    <row r="196" customFormat="false" ht="15" hidden="false" customHeight="false" outlineLevel="0" collapsed="false">
      <c r="A196" s="47" t="str">
        <f aca="false">IF(B196="","",A195+1)</f>
        <v/>
      </c>
      <c r="B196" s="48"/>
      <c r="C196" s="49"/>
      <c r="D196" s="50"/>
      <c r="E196" s="49"/>
      <c r="F196" s="49"/>
      <c r="G196" s="48"/>
      <c r="H196" s="48"/>
      <c r="I196" s="48"/>
      <c r="J196" s="48"/>
      <c r="K196" s="51"/>
      <c r="L196" s="52" t="n">
        <f aca="false">IFERROR(J196*K196,"")</f>
        <v>0</v>
      </c>
      <c r="M196" s="53"/>
    </row>
    <row r="197" customFormat="false" ht="15" hidden="false" customHeight="false" outlineLevel="0" collapsed="false">
      <c r="A197" s="47" t="str">
        <f aca="false">IF(B197="","",A196+1)</f>
        <v/>
      </c>
      <c r="B197" s="48"/>
      <c r="C197" s="49"/>
      <c r="D197" s="50"/>
      <c r="E197" s="49"/>
      <c r="F197" s="49"/>
      <c r="G197" s="48"/>
      <c r="H197" s="48"/>
      <c r="I197" s="48"/>
      <c r="J197" s="48"/>
      <c r="K197" s="51"/>
      <c r="L197" s="52" t="n">
        <f aca="false">IFERROR(J197*K197,"")</f>
        <v>0</v>
      </c>
      <c r="M197" s="53"/>
    </row>
    <row r="198" customFormat="false" ht="15" hidden="false" customHeight="false" outlineLevel="0" collapsed="false">
      <c r="A198" s="47" t="str">
        <f aca="false">IF(B198="","",A197+1)</f>
        <v/>
      </c>
      <c r="B198" s="48"/>
      <c r="C198" s="49"/>
      <c r="D198" s="50"/>
      <c r="E198" s="49"/>
      <c r="F198" s="49"/>
      <c r="G198" s="48"/>
      <c r="H198" s="48"/>
      <c r="I198" s="48"/>
      <c r="J198" s="48"/>
      <c r="K198" s="51"/>
      <c r="L198" s="52" t="n">
        <f aca="false">IFERROR(J198*K198,"")</f>
        <v>0</v>
      </c>
      <c r="M198" s="53"/>
    </row>
    <row r="199" customFormat="false" ht="15" hidden="false" customHeight="false" outlineLevel="0" collapsed="false">
      <c r="A199" s="47" t="str">
        <f aca="false">IF(B199="","",A198+1)</f>
        <v/>
      </c>
      <c r="B199" s="48"/>
      <c r="C199" s="49"/>
      <c r="D199" s="50"/>
      <c r="E199" s="49"/>
      <c r="F199" s="49"/>
      <c r="G199" s="48"/>
      <c r="H199" s="48"/>
      <c r="I199" s="48"/>
      <c r="J199" s="48"/>
      <c r="K199" s="51"/>
      <c r="L199" s="52" t="n">
        <f aca="false">IFERROR(J199*K199,"")</f>
        <v>0</v>
      </c>
      <c r="M199" s="53"/>
    </row>
    <row r="200" customFormat="false" ht="15" hidden="false" customHeight="false" outlineLevel="0" collapsed="false">
      <c r="A200" s="47" t="str">
        <f aca="false">IF(B200="","",A199+1)</f>
        <v/>
      </c>
      <c r="B200" s="48"/>
      <c r="C200" s="49"/>
      <c r="D200" s="50"/>
      <c r="E200" s="49"/>
      <c r="F200" s="49"/>
      <c r="G200" s="48"/>
      <c r="H200" s="48"/>
      <c r="I200" s="48"/>
      <c r="J200" s="48"/>
      <c r="K200" s="51"/>
      <c r="L200" s="52" t="n">
        <f aca="false">IFERROR(J200*K200,"")</f>
        <v>0</v>
      </c>
      <c r="M200" s="53"/>
    </row>
    <row r="201" customFormat="false" ht="15" hidden="false" customHeight="false" outlineLevel="0" collapsed="false">
      <c r="A201" s="47" t="str">
        <f aca="false">IF(B201="","",A200+1)</f>
        <v/>
      </c>
      <c r="B201" s="48"/>
      <c r="C201" s="49"/>
      <c r="D201" s="50"/>
      <c r="E201" s="49"/>
      <c r="F201" s="49"/>
      <c r="G201" s="48"/>
      <c r="H201" s="48"/>
      <c r="I201" s="48"/>
      <c r="J201" s="48"/>
      <c r="K201" s="51"/>
      <c r="L201" s="52" t="n">
        <f aca="false">IFERROR(J201*K201,"")</f>
        <v>0</v>
      </c>
      <c r="M201" s="53"/>
    </row>
    <row r="202" customFormat="false" ht="15" hidden="false" customHeight="false" outlineLevel="0" collapsed="false">
      <c r="A202" s="47" t="str">
        <f aca="false">IF(B202="","",A201+1)</f>
        <v/>
      </c>
      <c r="B202" s="48"/>
      <c r="C202" s="49"/>
      <c r="D202" s="50"/>
      <c r="E202" s="49"/>
      <c r="F202" s="49"/>
      <c r="G202" s="48"/>
      <c r="H202" s="48"/>
      <c r="I202" s="48"/>
      <c r="J202" s="48"/>
      <c r="K202" s="51"/>
      <c r="L202" s="52" t="n">
        <f aca="false">IFERROR(J202*K202,"")</f>
        <v>0</v>
      </c>
      <c r="M202" s="53"/>
    </row>
    <row r="203" customFormat="false" ht="15" hidden="false" customHeight="false" outlineLevel="0" collapsed="false">
      <c r="A203" s="47" t="str">
        <f aca="false">IF(B203="","",A202+1)</f>
        <v/>
      </c>
      <c r="B203" s="48"/>
      <c r="C203" s="49"/>
      <c r="D203" s="50"/>
      <c r="E203" s="49"/>
      <c r="F203" s="49"/>
      <c r="G203" s="48"/>
      <c r="H203" s="48"/>
      <c r="I203" s="48"/>
      <c r="J203" s="48"/>
      <c r="K203" s="51"/>
      <c r="L203" s="52" t="n">
        <f aca="false">IFERROR(J203*K203,"")</f>
        <v>0</v>
      </c>
      <c r="M203" s="53"/>
    </row>
    <row r="204" customFormat="false" ht="15" hidden="false" customHeight="false" outlineLevel="0" collapsed="false">
      <c r="A204" s="47" t="str">
        <f aca="false">IF(B204="","",A203+1)</f>
        <v/>
      </c>
      <c r="B204" s="48"/>
      <c r="C204" s="49"/>
      <c r="D204" s="50"/>
      <c r="E204" s="49"/>
      <c r="F204" s="49"/>
      <c r="G204" s="48"/>
      <c r="H204" s="48"/>
      <c r="I204" s="48"/>
      <c r="J204" s="48"/>
      <c r="K204" s="51"/>
      <c r="L204" s="52" t="n">
        <f aca="false">IFERROR(J204*K204,"")</f>
        <v>0</v>
      </c>
      <c r="M204" s="53"/>
    </row>
    <row r="205" customFormat="false" ht="15" hidden="false" customHeight="false" outlineLevel="0" collapsed="false">
      <c r="A205" s="47" t="str">
        <f aca="false">IF(B205="","",A204+1)</f>
        <v/>
      </c>
      <c r="B205" s="48"/>
      <c r="C205" s="49"/>
      <c r="D205" s="50"/>
      <c r="E205" s="49"/>
      <c r="F205" s="49"/>
      <c r="G205" s="48"/>
      <c r="H205" s="48"/>
      <c r="I205" s="48"/>
      <c r="J205" s="48"/>
      <c r="K205" s="51"/>
      <c r="L205" s="52" t="n">
        <f aca="false">IFERROR(J205*K205,"")</f>
        <v>0</v>
      </c>
      <c r="M205" s="53"/>
    </row>
    <row r="206" customFormat="false" ht="15" hidden="false" customHeight="false" outlineLevel="0" collapsed="false">
      <c r="A206" s="47" t="str">
        <f aca="false">IF(B206="","",A205+1)</f>
        <v/>
      </c>
      <c r="B206" s="48"/>
      <c r="C206" s="49"/>
      <c r="D206" s="50"/>
      <c r="E206" s="49"/>
      <c r="F206" s="49"/>
      <c r="G206" s="48"/>
      <c r="H206" s="48"/>
      <c r="I206" s="48"/>
      <c r="J206" s="48"/>
      <c r="K206" s="51"/>
      <c r="L206" s="52" t="n">
        <f aca="false">IFERROR(J206*K206,"")</f>
        <v>0</v>
      </c>
      <c r="M206" s="53"/>
    </row>
    <row r="207" customFormat="false" ht="15" hidden="false" customHeight="false" outlineLevel="0" collapsed="false">
      <c r="A207" s="47" t="str">
        <f aca="false">IF(B207="","",A206+1)</f>
        <v/>
      </c>
      <c r="B207" s="48"/>
      <c r="C207" s="49"/>
      <c r="D207" s="50"/>
      <c r="E207" s="49"/>
      <c r="F207" s="49"/>
      <c r="G207" s="48"/>
      <c r="H207" s="48"/>
      <c r="I207" s="48"/>
      <c r="J207" s="48"/>
      <c r="K207" s="51"/>
      <c r="L207" s="52" t="n">
        <f aca="false">IFERROR(J207*K207,"")</f>
        <v>0</v>
      </c>
      <c r="M207" s="53"/>
    </row>
    <row r="208" customFormat="false" ht="15" hidden="false" customHeight="false" outlineLevel="0" collapsed="false">
      <c r="A208" s="47" t="str">
        <f aca="false">IF(B208="","",A207+1)</f>
        <v/>
      </c>
      <c r="B208" s="48"/>
      <c r="C208" s="49"/>
      <c r="D208" s="50"/>
      <c r="E208" s="49"/>
      <c r="F208" s="49"/>
      <c r="G208" s="48"/>
      <c r="H208" s="48"/>
      <c r="I208" s="48"/>
      <c r="J208" s="48"/>
      <c r="K208" s="51"/>
      <c r="L208" s="52" t="n">
        <f aca="false">IFERROR(J208*K208,"")</f>
        <v>0</v>
      </c>
      <c r="M208" s="53"/>
    </row>
    <row r="209" customFormat="false" ht="15" hidden="false" customHeight="false" outlineLevel="0" collapsed="false">
      <c r="A209" s="47" t="str">
        <f aca="false">IF(B209="","",A208+1)</f>
        <v/>
      </c>
      <c r="B209" s="48"/>
      <c r="C209" s="49"/>
      <c r="D209" s="50"/>
      <c r="E209" s="49"/>
      <c r="F209" s="49"/>
      <c r="G209" s="48"/>
      <c r="H209" s="48"/>
      <c r="I209" s="48"/>
      <c r="J209" s="48"/>
      <c r="K209" s="51"/>
      <c r="L209" s="52" t="n">
        <f aca="false">IFERROR(J209*K209,"")</f>
        <v>0</v>
      </c>
      <c r="M209" s="53"/>
    </row>
    <row r="210" customFormat="false" ht="15" hidden="false" customHeight="false" outlineLevel="0" collapsed="false">
      <c r="A210" s="47" t="str">
        <f aca="false">IF(B210="","",A209+1)</f>
        <v/>
      </c>
      <c r="B210" s="48"/>
      <c r="C210" s="49"/>
      <c r="D210" s="50"/>
      <c r="E210" s="49"/>
      <c r="F210" s="49"/>
      <c r="G210" s="48"/>
      <c r="H210" s="48"/>
      <c r="I210" s="48"/>
      <c r="J210" s="48"/>
      <c r="K210" s="51"/>
      <c r="L210" s="52" t="n">
        <f aca="false">IFERROR(J210*K210,"")</f>
        <v>0</v>
      </c>
      <c r="M210" s="53"/>
    </row>
    <row r="211" customFormat="false" ht="15" hidden="false" customHeight="false" outlineLevel="0" collapsed="false">
      <c r="A211" s="47" t="str">
        <f aca="false">IF(B211="","",A210+1)</f>
        <v/>
      </c>
      <c r="B211" s="48"/>
      <c r="C211" s="49"/>
      <c r="D211" s="50"/>
      <c r="E211" s="49"/>
      <c r="F211" s="49"/>
      <c r="G211" s="48"/>
      <c r="H211" s="48"/>
      <c r="I211" s="48"/>
      <c r="J211" s="48"/>
      <c r="K211" s="51"/>
      <c r="L211" s="52" t="n">
        <f aca="false">IFERROR(J211*K211,"")</f>
        <v>0</v>
      </c>
      <c r="M211" s="53"/>
    </row>
    <row r="212" customFormat="false" ht="15" hidden="false" customHeight="false" outlineLevel="0" collapsed="false">
      <c r="A212" s="47" t="str">
        <f aca="false">IF(B212="","",A211+1)</f>
        <v/>
      </c>
      <c r="B212" s="48"/>
      <c r="C212" s="49"/>
      <c r="D212" s="50"/>
      <c r="E212" s="49"/>
      <c r="F212" s="49"/>
      <c r="G212" s="48"/>
      <c r="H212" s="48"/>
      <c r="I212" s="48"/>
      <c r="J212" s="48"/>
      <c r="K212" s="51"/>
      <c r="L212" s="52" t="n">
        <f aca="false">IFERROR(J212*K212,"")</f>
        <v>0</v>
      </c>
      <c r="M212" s="53"/>
    </row>
    <row r="213" customFormat="false" ht="15" hidden="false" customHeight="false" outlineLevel="0" collapsed="false">
      <c r="A213" s="47" t="str">
        <f aca="false">IF(B213="","",A212+1)</f>
        <v/>
      </c>
      <c r="B213" s="48"/>
      <c r="C213" s="49"/>
      <c r="D213" s="50"/>
      <c r="E213" s="49"/>
      <c r="F213" s="49"/>
      <c r="G213" s="48"/>
      <c r="H213" s="48"/>
      <c r="I213" s="48"/>
      <c r="J213" s="48"/>
      <c r="K213" s="51"/>
      <c r="L213" s="52" t="n">
        <f aca="false">IFERROR(J213*K213,"")</f>
        <v>0</v>
      </c>
      <c r="M213" s="53"/>
    </row>
    <row r="214" customFormat="false" ht="15" hidden="false" customHeight="false" outlineLevel="0" collapsed="false">
      <c r="A214" s="47" t="str">
        <f aca="false">IF(B214="","",A213+1)</f>
        <v/>
      </c>
      <c r="B214" s="48"/>
      <c r="C214" s="49"/>
      <c r="D214" s="50"/>
      <c r="E214" s="49"/>
      <c r="F214" s="49"/>
      <c r="G214" s="48"/>
      <c r="H214" s="48"/>
      <c r="I214" s="48"/>
      <c r="J214" s="48"/>
      <c r="K214" s="51"/>
      <c r="L214" s="52" t="n">
        <f aca="false">IFERROR(J214*K214,"")</f>
        <v>0</v>
      </c>
      <c r="M214" s="53"/>
    </row>
    <row r="215" customFormat="false" ht="15" hidden="false" customHeight="false" outlineLevel="0" collapsed="false">
      <c r="A215" s="47" t="str">
        <f aca="false">IF(B215="","",A214+1)</f>
        <v/>
      </c>
      <c r="B215" s="48"/>
      <c r="C215" s="49"/>
      <c r="D215" s="50"/>
      <c r="E215" s="49"/>
      <c r="F215" s="49"/>
      <c r="G215" s="48"/>
      <c r="H215" s="48"/>
      <c r="I215" s="48"/>
      <c r="J215" s="48"/>
      <c r="K215" s="51"/>
      <c r="L215" s="52" t="n">
        <f aca="false">IFERROR(J215*K215,"")</f>
        <v>0</v>
      </c>
      <c r="M215" s="53"/>
    </row>
    <row r="216" customFormat="false" ht="15" hidden="false" customHeight="false" outlineLevel="0" collapsed="false">
      <c r="A216" s="47" t="str">
        <f aca="false">IF(B216="","",A215+1)</f>
        <v/>
      </c>
      <c r="B216" s="48"/>
      <c r="C216" s="49"/>
      <c r="D216" s="50"/>
      <c r="E216" s="49"/>
      <c r="F216" s="49"/>
      <c r="G216" s="48"/>
      <c r="H216" s="48"/>
      <c r="I216" s="48"/>
      <c r="J216" s="48"/>
      <c r="K216" s="51"/>
      <c r="L216" s="52" t="n">
        <f aca="false">IFERROR(J216*K216,"")</f>
        <v>0</v>
      </c>
      <c r="M216" s="53"/>
    </row>
    <row r="217" customFormat="false" ht="15" hidden="false" customHeight="false" outlineLevel="0" collapsed="false">
      <c r="A217" s="47" t="str">
        <f aca="false">IF(B217="","",A216+1)</f>
        <v/>
      </c>
      <c r="B217" s="48"/>
      <c r="C217" s="49"/>
      <c r="D217" s="50"/>
      <c r="E217" s="49"/>
      <c r="F217" s="49"/>
      <c r="G217" s="48"/>
      <c r="H217" s="48"/>
      <c r="I217" s="48"/>
      <c r="J217" s="48"/>
      <c r="K217" s="51"/>
      <c r="L217" s="52" t="n">
        <f aca="false">IFERROR(J217*K217,"")</f>
        <v>0</v>
      </c>
      <c r="M217" s="53"/>
    </row>
    <row r="218" customFormat="false" ht="15" hidden="false" customHeight="false" outlineLevel="0" collapsed="false">
      <c r="A218" s="47" t="str">
        <f aca="false">IF(B218="","",A217+1)</f>
        <v/>
      </c>
      <c r="B218" s="48"/>
      <c r="C218" s="49"/>
      <c r="D218" s="50"/>
      <c r="E218" s="49"/>
      <c r="F218" s="49"/>
      <c r="G218" s="48"/>
      <c r="H218" s="48"/>
      <c r="I218" s="48"/>
      <c r="J218" s="48"/>
      <c r="K218" s="51"/>
      <c r="L218" s="52" t="n">
        <f aca="false">IFERROR(J218*K218,"")</f>
        <v>0</v>
      </c>
      <c r="M218" s="53"/>
    </row>
    <row r="219" customFormat="false" ht="15" hidden="false" customHeight="false" outlineLevel="0" collapsed="false">
      <c r="A219" s="47" t="str">
        <f aca="false">IF(B219="","",A218+1)</f>
        <v/>
      </c>
      <c r="B219" s="48"/>
      <c r="C219" s="49"/>
      <c r="D219" s="50"/>
      <c r="E219" s="49"/>
      <c r="F219" s="49"/>
      <c r="G219" s="48"/>
      <c r="H219" s="48"/>
      <c r="I219" s="48"/>
      <c r="J219" s="48"/>
      <c r="K219" s="51"/>
      <c r="L219" s="52" t="n">
        <f aca="false">IFERROR(J219*K219,"")</f>
        <v>0</v>
      </c>
      <c r="M219" s="53"/>
    </row>
    <row r="220" customFormat="false" ht="15" hidden="false" customHeight="false" outlineLevel="0" collapsed="false">
      <c r="A220" s="47" t="str">
        <f aca="false">IF(B220="","",A219+1)</f>
        <v/>
      </c>
      <c r="B220" s="48"/>
      <c r="C220" s="49"/>
      <c r="D220" s="50"/>
      <c r="E220" s="49"/>
      <c r="F220" s="49"/>
      <c r="G220" s="48"/>
      <c r="H220" s="48"/>
      <c r="I220" s="48"/>
      <c r="J220" s="48"/>
      <c r="K220" s="51"/>
      <c r="L220" s="52" t="n">
        <f aca="false">IFERROR(J220*K220,"")</f>
        <v>0</v>
      </c>
      <c r="M220" s="53"/>
    </row>
    <row r="221" customFormat="false" ht="15" hidden="false" customHeight="false" outlineLevel="0" collapsed="false">
      <c r="A221" s="47" t="str">
        <f aca="false">IF(B221="","",A220+1)</f>
        <v/>
      </c>
      <c r="B221" s="48"/>
      <c r="C221" s="49"/>
      <c r="D221" s="50"/>
      <c r="E221" s="49"/>
      <c r="F221" s="49"/>
      <c r="G221" s="48"/>
      <c r="H221" s="48"/>
      <c r="I221" s="48"/>
      <c r="J221" s="48"/>
      <c r="K221" s="51"/>
      <c r="L221" s="52" t="n">
        <f aca="false">IFERROR(J221*K221,"")</f>
        <v>0</v>
      </c>
      <c r="M221" s="53"/>
    </row>
    <row r="222" customFormat="false" ht="15" hidden="false" customHeight="false" outlineLevel="0" collapsed="false">
      <c r="A222" s="47" t="str">
        <f aca="false">IF(B222="","",A221+1)</f>
        <v/>
      </c>
      <c r="B222" s="48"/>
      <c r="C222" s="49"/>
      <c r="D222" s="50"/>
      <c r="E222" s="49"/>
      <c r="F222" s="49"/>
      <c r="G222" s="48"/>
      <c r="H222" s="48"/>
      <c r="I222" s="48"/>
      <c r="J222" s="48"/>
      <c r="K222" s="51"/>
      <c r="L222" s="52" t="n">
        <f aca="false">IFERROR(J222*K222,"")</f>
        <v>0</v>
      </c>
      <c r="M222" s="53"/>
    </row>
    <row r="223" customFormat="false" ht="15" hidden="false" customHeight="false" outlineLevel="0" collapsed="false">
      <c r="A223" s="47" t="str">
        <f aca="false">IF(B223="","",A222+1)</f>
        <v/>
      </c>
      <c r="B223" s="48"/>
      <c r="C223" s="49"/>
      <c r="D223" s="50"/>
      <c r="E223" s="49"/>
      <c r="F223" s="49"/>
      <c r="G223" s="48"/>
      <c r="H223" s="48"/>
      <c r="I223" s="48"/>
      <c r="J223" s="48"/>
      <c r="K223" s="51"/>
      <c r="L223" s="52" t="n">
        <f aca="false">IFERROR(J223*K223,"")</f>
        <v>0</v>
      </c>
      <c r="M223" s="53"/>
    </row>
    <row r="224" customFormat="false" ht="15" hidden="false" customHeight="false" outlineLevel="0" collapsed="false">
      <c r="A224" s="47" t="str">
        <f aca="false">IF(B224="","",A223+1)</f>
        <v/>
      </c>
      <c r="B224" s="48"/>
      <c r="C224" s="49"/>
      <c r="D224" s="50"/>
      <c r="E224" s="49"/>
      <c r="F224" s="49"/>
      <c r="G224" s="48"/>
      <c r="H224" s="48"/>
      <c r="I224" s="48"/>
      <c r="J224" s="48"/>
      <c r="K224" s="51"/>
      <c r="L224" s="52" t="n">
        <f aca="false">IFERROR(J224*K224,"")</f>
        <v>0</v>
      </c>
      <c r="M224" s="53"/>
    </row>
    <row r="225" customFormat="false" ht="15" hidden="false" customHeight="false" outlineLevel="0" collapsed="false">
      <c r="A225" s="47" t="str">
        <f aca="false">IF(B225="","",A224+1)</f>
        <v/>
      </c>
      <c r="B225" s="48"/>
      <c r="C225" s="49"/>
      <c r="D225" s="50"/>
      <c r="E225" s="49"/>
      <c r="F225" s="49"/>
      <c r="G225" s="48"/>
      <c r="H225" s="48"/>
      <c r="I225" s="48"/>
      <c r="J225" s="48"/>
      <c r="K225" s="51"/>
      <c r="L225" s="52" t="n">
        <f aca="false">IFERROR(J225*K225,"")</f>
        <v>0</v>
      </c>
      <c r="M225" s="53"/>
    </row>
    <row r="226" customFormat="false" ht="15" hidden="false" customHeight="false" outlineLevel="0" collapsed="false">
      <c r="A226" s="47" t="str">
        <f aca="false">IF(B226="","",A225+1)</f>
        <v/>
      </c>
      <c r="B226" s="48"/>
      <c r="C226" s="49"/>
      <c r="D226" s="50"/>
      <c r="E226" s="49"/>
      <c r="F226" s="49"/>
      <c r="G226" s="48"/>
      <c r="H226" s="48"/>
      <c r="I226" s="48"/>
      <c r="J226" s="48"/>
      <c r="K226" s="51"/>
      <c r="L226" s="52" t="n">
        <f aca="false">IFERROR(J226*K226,"")</f>
        <v>0</v>
      </c>
      <c r="M226" s="53"/>
    </row>
    <row r="227" customFormat="false" ht="15" hidden="false" customHeight="false" outlineLevel="0" collapsed="false">
      <c r="A227" s="47" t="str">
        <f aca="false">IF(B227="","",A226+1)</f>
        <v/>
      </c>
      <c r="B227" s="48"/>
      <c r="C227" s="49"/>
      <c r="D227" s="50"/>
      <c r="E227" s="49"/>
      <c r="F227" s="49"/>
      <c r="G227" s="48"/>
      <c r="H227" s="48"/>
      <c r="I227" s="48"/>
      <c r="J227" s="48"/>
      <c r="K227" s="51"/>
      <c r="L227" s="52" t="n">
        <f aca="false">IFERROR(J227*K227,"")</f>
        <v>0</v>
      </c>
      <c r="M227" s="53"/>
    </row>
    <row r="228" customFormat="false" ht="15" hidden="false" customHeight="false" outlineLevel="0" collapsed="false">
      <c r="A228" s="47" t="str">
        <f aca="false">IF(B228="","",A227+1)</f>
        <v/>
      </c>
      <c r="B228" s="48"/>
      <c r="C228" s="49"/>
      <c r="D228" s="50"/>
      <c r="E228" s="49"/>
      <c r="F228" s="49"/>
      <c r="G228" s="48"/>
      <c r="H228" s="48"/>
      <c r="I228" s="48"/>
      <c r="J228" s="48"/>
      <c r="K228" s="51"/>
      <c r="L228" s="52" t="n">
        <f aca="false">IFERROR(J228*K228,"")</f>
        <v>0</v>
      </c>
      <c r="M228" s="53"/>
    </row>
    <row r="229" customFormat="false" ht="15" hidden="false" customHeight="false" outlineLevel="0" collapsed="false">
      <c r="A229" s="47" t="str">
        <f aca="false">IF(B229="","",A228+1)</f>
        <v/>
      </c>
      <c r="B229" s="48"/>
      <c r="C229" s="49"/>
      <c r="D229" s="50"/>
      <c r="E229" s="49"/>
      <c r="F229" s="49"/>
      <c r="G229" s="48"/>
      <c r="H229" s="48"/>
      <c r="I229" s="48"/>
      <c r="J229" s="48"/>
      <c r="K229" s="51"/>
      <c r="L229" s="52" t="n">
        <f aca="false">IFERROR(J229*K229,"")</f>
        <v>0</v>
      </c>
      <c r="M229" s="53"/>
    </row>
    <row r="230" customFormat="false" ht="15" hidden="false" customHeight="false" outlineLevel="0" collapsed="false">
      <c r="A230" s="47" t="str">
        <f aca="false">IF(B230="","",A229+1)</f>
        <v/>
      </c>
      <c r="B230" s="48"/>
      <c r="C230" s="49"/>
      <c r="D230" s="50"/>
      <c r="E230" s="49"/>
      <c r="F230" s="49"/>
      <c r="G230" s="48"/>
      <c r="H230" s="48"/>
      <c r="I230" s="48"/>
      <c r="J230" s="48"/>
      <c r="K230" s="51"/>
      <c r="L230" s="52" t="n">
        <f aca="false">IFERROR(J230*K230,"")</f>
        <v>0</v>
      </c>
      <c r="M230" s="53"/>
    </row>
    <row r="231" customFormat="false" ht="15" hidden="false" customHeight="false" outlineLevel="0" collapsed="false">
      <c r="A231" s="47" t="str">
        <f aca="false">IF(B231="","",A230+1)</f>
        <v/>
      </c>
      <c r="B231" s="48"/>
      <c r="C231" s="49"/>
      <c r="D231" s="50"/>
      <c r="E231" s="49"/>
      <c r="F231" s="49"/>
      <c r="G231" s="48"/>
      <c r="H231" s="48"/>
      <c r="I231" s="48"/>
      <c r="J231" s="48"/>
      <c r="K231" s="51"/>
      <c r="L231" s="52" t="n">
        <f aca="false">IFERROR(J231*K231,"")</f>
        <v>0</v>
      </c>
      <c r="M231" s="53"/>
    </row>
    <row r="232" customFormat="false" ht="15" hidden="false" customHeight="false" outlineLevel="0" collapsed="false">
      <c r="A232" s="47" t="str">
        <f aca="false">IF(B232="","",A231+1)</f>
        <v/>
      </c>
      <c r="B232" s="48"/>
      <c r="C232" s="49"/>
      <c r="D232" s="50"/>
      <c r="E232" s="49"/>
      <c r="F232" s="49"/>
      <c r="G232" s="48"/>
      <c r="H232" s="48"/>
      <c r="I232" s="48"/>
      <c r="J232" s="48"/>
      <c r="K232" s="51"/>
      <c r="L232" s="52" t="n">
        <f aca="false">IFERROR(J232*K232,"")</f>
        <v>0</v>
      </c>
      <c r="M232" s="53"/>
    </row>
    <row r="233" customFormat="false" ht="15" hidden="false" customHeight="false" outlineLevel="0" collapsed="false">
      <c r="A233" s="47" t="str">
        <f aca="false">IF(B233="","",A232+1)</f>
        <v/>
      </c>
      <c r="B233" s="48"/>
      <c r="C233" s="49"/>
      <c r="D233" s="50"/>
      <c r="E233" s="49"/>
      <c r="F233" s="49"/>
      <c r="G233" s="48"/>
      <c r="H233" s="48"/>
      <c r="I233" s="48"/>
      <c r="J233" s="48"/>
      <c r="K233" s="51"/>
      <c r="L233" s="52" t="n">
        <f aca="false">IFERROR(J233*K233,"")</f>
        <v>0</v>
      </c>
      <c r="M233" s="53"/>
    </row>
    <row r="234" customFormat="false" ht="15" hidden="false" customHeight="false" outlineLevel="0" collapsed="false">
      <c r="A234" s="47" t="str">
        <f aca="false">IF(B234="","",A233+1)</f>
        <v/>
      </c>
      <c r="B234" s="48"/>
      <c r="C234" s="49"/>
      <c r="D234" s="50"/>
      <c r="E234" s="49"/>
      <c r="F234" s="49"/>
      <c r="G234" s="48"/>
      <c r="H234" s="48"/>
      <c r="I234" s="48"/>
      <c r="J234" s="48"/>
      <c r="K234" s="51"/>
      <c r="L234" s="52" t="n">
        <f aca="false">IFERROR(J234*K234,"")</f>
        <v>0</v>
      </c>
      <c r="M234" s="53"/>
    </row>
    <row r="235" customFormat="false" ht="15" hidden="false" customHeight="false" outlineLevel="0" collapsed="false">
      <c r="A235" s="47" t="str">
        <f aca="false">IF(B235="","",A234+1)</f>
        <v/>
      </c>
      <c r="B235" s="48"/>
      <c r="C235" s="49"/>
      <c r="D235" s="50"/>
      <c r="E235" s="49"/>
      <c r="F235" s="49"/>
      <c r="G235" s="48"/>
      <c r="H235" s="48"/>
      <c r="I235" s="48"/>
      <c r="J235" s="48"/>
      <c r="K235" s="51"/>
      <c r="L235" s="52" t="n">
        <f aca="false">IFERROR(J235*K235,"")</f>
        <v>0</v>
      </c>
      <c r="M235" s="53"/>
    </row>
    <row r="236" customFormat="false" ht="15" hidden="false" customHeight="false" outlineLevel="0" collapsed="false">
      <c r="A236" s="47" t="str">
        <f aca="false">IF(B236="","",A235+1)</f>
        <v/>
      </c>
      <c r="B236" s="48"/>
      <c r="C236" s="49"/>
      <c r="D236" s="50"/>
      <c r="E236" s="49"/>
      <c r="F236" s="49"/>
      <c r="G236" s="48"/>
      <c r="H236" s="48"/>
      <c r="I236" s="48"/>
      <c r="J236" s="48"/>
      <c r="K236" s="51"/>
      <c r="L236" s="52" t="n">
        <f aca="false">IFERROR(J236*K236,"")</f>
        <v>0</v>
      </c>
      <c r="M236" s="53"/>
    </row>
    <row r="237" customFormat="false" ht="15" hidden="false" customHeight="false" outlineLevel="0" collapsed="false">
      <c r="A237" s="47" t="str">
        <f aca="false">IF(B237="","",A236+1)</f>
        <v/>
      </c>
      <c r="B237" s="48"/>
      <c r="C237" s="49"/>
      <c r="D237" s="50"/>
      <c r="E237" s="49"/>
      <c r="F237" s="49"/>
      <c r="G237" s="48"/>
      <c r="H237" s="48"/>
      <c r="I237" s="48"/>
      <c r="J237" s="48"/>
      <c r="K237" s="51"/>
      <c r="L237" s="52" t="n">
        <f aca="false">IFERROR(J237*K237,"")</f>
        <v>0</v>
      </c>
      <c r="M237" s="53"/>
    </row>
    <row r="238" customFormat="false" ht="15" hidden="false" customHeight="false" outlineLevel="0" collapsed="false">
      <c r="A238" s="47" t="str">
        <f aca="false">IF(B238="","",A237+1)</f>
        <v/>
      </c>
      <c r="B238" s="48"/>
      <c r="C238" s="49"/>
      <c r="D238" s="50"/>
      <c r="E238" s="49"/>
      <c r="F238" s="49"/>
      <c r="G238" s="48"/>
      <c r="H238" s="48"/>
      <c r="I238" s="48"/>
      <c r="J238" s="48"/>
      <c r="K238" s="51"/>
      <c r="L238" s="52" t="n">
        <f aca="false">IFERROR(J238*K238,"")</f>
        <v>0</v>
      </c>
      <c r="M238" s="53"/>
    </row>
    <row r="239" customFormat="false" ht="15" hidden="false" customHeight="false" outlineLevel="0" collapsed="false">
      <c r="A239" s="47" t="str">
        <f aca="false">IF(B239="","",A238+1)</f>
        <v/>
      </c>
      <c r="B239" s="48"/>
      <c r="C239" s="49"/>
      <c r="D239" s="50"/>
      <c r="E239" s="49"/>
      <c r="F239" s="49"/>
      <c r="G239" s="48"/>
      <c r="H239" s="48"/>
      <c r="I239" s="48"/>
      <c r="J239" s="48"/>
      <c r="K239" s="51"/>
      <c r="L239" s="52" t="n">
        <f aca="false">IFERROR(J239*K239,"")</f>
        <v>0</v>
      </c>
      <c r="M239" s="53"/>
    </row>
    <row r="240" customFormat="false" ht="15" hidden="false" customHeight="false" outlineLevel="0" collapsed="false">
      <c r="A240" s="47" t="str">
        <f aca="false">IF(B240="","",A239+1)</f>
        <v/>
      </c>
      <c r="B240" s="48"/>
      <c r="C240" s="49"/>
      <c r="D240" s="50"/>
      <c r="E240" s="49"/>
      <c r="F240" s="49"/>
      <c r="G240" s="48"/>
      <c r="H240" s="48"/>
      <c r="I240" s="48"/>
      <c r="J240" s="48"/>
      <c r="K240" s="51"/>
      <c r="L240" s="52" t="n">
        <f aca="false">IFERROR(J240*K240,"")</f>
        <v>0</v>
      </c>
      <c r="M240" s="53"/>
    </row>
    <row r="241" customFormat="false" ht="15" hidden="false" customHeight="false" outlineLevel="0" collapsed="false">
      <c r="A241" s="47" t="str">
        <f aca="false">IF(B241="","",A240+1)</f>
        <v/>
      </c>
      <c r="B241" s="48"/>
      <c r="C241" s="49"/>
      <c r="D241" s="50"/>
      <c r="E241" s="49"/>
      <c r="F241" s="49"/>
      <c r="G241" s="48"/>
      <c r="H241" s="48"/>
      <c r="I241" s="48"/>
      <c r="J241" s="48"/>
      <c r="K241" s="51"/>
      <c r="L241" s="52" t="n">
        <f aca="false">IFERROR(J241*K241,"")</f>
        <v>0</v>
      </c>
      <c r="M241" s="53"/>
    </row>
    <row r="242" customFormat="false" ht="15" hidden="false" customHeight="false" outlineLevel="0" collapsed="false">
      <c r="A242" s="47" t="str">
        <f aca="false">IF(B242="","",A241+1)</f>
        <v/>
      </c>
      <c r="B242" s="48"/>
      <c r="C242" s="49"/>
      <c r="D242" s="50"/>
      <c r="E242" s="49"/>
      <c r="F242" s="49"/>
      <c r="G242" s="48"/>
      <c r="H242" s="48"/>
      <c r="I242" s="48"/>
      <c r="J242" s="48"/>
      <c r="K242" s="51"/>
      <c r="L242" s="52" t="n">
        <f aca="false">IFERROR(J242*K242,"")</f>
        <v>0</v>
      </c>
      <c r="M242" s="53"/>
    </row>
    <row r="243" customFormat="false" ht="15" hidden="false" customHeight="false" outlineLevel="0" collapsed="false">
      <c r="A243" s="47" t="str">
        <f aca="false">IF(B243="","",A242+1)</f>
        <v/>
      </c>
      <c r="B243" s="48"/>
      <c r="C243" s="49"/>
      <c r="D243" s="50"/>
      <c r="E243" s="49"/>
      <c r="F243" s="49"/>
      <c r="G243" s="48"/>
      <c r="H243" s="48"/>
      <c r="I243" s="48"/>
      <c r="J243" s="48"/>
      <c r="K243" s="51"/>
      <c r="L243" s="52" t="n">
        <f aca="false">IFERROR(J243*K243,"")</f>
        <v>0</v>
      </c>
      <c r="M243" s="53"/>
    </row>
    <row r="244" customFormat="false" ht="15" hidden="false" customHeight="false" outlineLevel="0" collapsed="false">
      <c r="A244" s="47" t="str">
        <f aca="false">IF(B244="","",A243+1)</f>
        <v/>
      </c>
      <c r="B244" s="48"/>
      <c r="C244" s="49"/>
      <c r="D244" s="50"/>
      <c r="E244" s="49"/>
      <c r="F244" s="49"/>
      <c r="G244" s="48"/>
      <c r="H244" s="48"/>
      <c r="I244" s="48"/>
      <c r="J244" s="48"/>
      <c r="K244" s="51"/>
      <c r="L244" s="52" t="n">
        <f aca="false">IFERROR(J244*K244,"")</f>
        <v>0</v>
      </c>
      <c r="M244" s="53"/>
    </row>
    <row r="245" customFormat="false" ht="15" hidden="false" customHeight="false" outlineLevel="0" collapsed="false">
      <c r="A245" s="47" t="str">
        <f aca="false">IF(B245="","",A244+1)</f>
        <v/>
      </c>
      <c r="B245" s="48"/>
      <c r="C245" s="49"/>
      <c r="D245" s="50"/>
      <c r="E245" s="49"/>
      <c r="F245" s="49"/>
      <c r="G245" s="48"/>
      <c r="H245" s="48"/>
      <c r="I245" s="48"/>
      <c r="J245" s="48"/>
      <c r="K245" s="51"/>
      <c r="L245" s="52" t="n">
        <f aca="false">IFERROR(J245*K245,"")</f>
        <v>0</v>
      </c>
      <c r="M245" s="53"/>
    </row>
    <row r="246" customFormat="false" ht="15" hidden="false" customHeight="false" outlineLevel="0" collapsed="false">
      <c r="A246" s="47" t="str">
        <f aca="false">IF(B246="","",A245+1)</f>
        <v/>
      </c>
      <c r="B246" s="48"/>
      <c r="C246" s="49"/>
      <c r="D246" s="50"/>
      <c r="E246" s="49"/>
      <c r="F246" s="49"/>
      <c r="G246" s="48"/>
      <c r="H246" s="48"/>
      <c r="I246" s="48"/>
      <c r="J246" s="48"/>
      <c r="K246" s="51"/>
      <c r="L246" s="52" t="n">
        <f aca="false">IFERROR(J246*K246,"")</f>
        <v>0</v>
      </c>
      <c r="M246" s="53"/>
    </row>
    <row r="247" customFormat="false" ht="15" hidden="false" customHeight="false" outlineLevel="0" collapsed="false">
      <c r="A247" s="47" t="str">
        <f aca="false">IF(B247="","",A246+1)</f>
        <v/>
      </c>
      <c r="B247" s="48"/>
      <c r="C247" s="49"/>
      <c r="D247" s="50"/>
      <c r="E247" s="49"/>
      <c r="F247" s="49"/>
      <c r="G247" s="48"/>
      <c r="H247" s="48"/>
      <c r="I247" s="48"/>
      <c r="J247" s="48"/>
      <c r="K247" s="51"/>
      <c r="L247" s="52" t="n">
        <f aca="false">IFERROR(J247*K247,"")</f>
        <v>0</v>
      </c>
      <c r="M247" s="53"/>
    </row>
    <row r="248" customFormat="false" ht="15" hidden="false" customHeight="false" outlineLevel="0" collapsed="false">
      <c r="A248" s="47" t="str">
        <f aca="false">IF(B248="","",A247+1)</f>
        <v/>
      </c>
      <c r="B248" s="48"/>
      <c r="C248" s="49"/>
      <c r="D248" s="50"/>
      <c r="E248" s="49"/>
      <c r="F248" s="49"/>
      <c r="G248" s="48"/>
      <c r="H248" s="48"/>
      <c r="I248" s="48"/>
      <c r="J248" s="48"/>
      <c r="K248" s="51"/>
      <c r="L248" s="52" t="n">
        <f aca="false">IFERROR(J248*K248,"")</f>
        <v>0</v>
      </c>
      <c r="M248" s="53"/>
    </row>
    <row r="249" customFormat="false" ht="15" hidden="false" customHeight="false" outlineLevel="0" collapsed="false">
      <c r="A249" s="47" t="str">
        <f aca="false">IF(B249="","",A248+1)</f>
        <v/>
      </c>
      <c r="B249" s="48"/>
      <c r="C249" s="49"/>
      <c r="D249" s="50"/>
      <c r="E249" s="49"/>
      <c r="F249" s="49"/>
      <c r="G249" s="48"/>
      <c r="H249" s="48"/>
      <c r="I249" s="48"/>
      <c r="J249" s="48"/>
      <c r="K249" s="51"/>
      <c r="L249" s="52" t="n">
        <f aca="false">IFERROR(J249*K249,"")</f>
        <v>0</v>
      </c>
      <c r="M249" s="53"/>
    </row>
    <row r="250" customFormat="false" ht="15" hidden="false" customHeight="false" outlineLevel="0" collapsed="false">
      <c r="A250" s="47" t="str">
        <f aca="false">IF(B250="","",A249+1)</f>
        <v/>
      </c>
      <c r="B250" s="48"/>
      <c r="C250" s="49"/>
      <c r="D250" s="50"/>
      <c r="E250" s="49"/>
      <c r="F250" s="49"/>
      <c r="G250" s="48"/>
      <c r="H250" s="48"/>
      <c r="I250" s="48"/>
      <c r="J250" s="48"/>
      <c r="K250" s="51"/>
      <c r="L250" s="52" t="n">
        <f aca="false">IFERROR(J250*K250,"")</f>
        <v>0</v>
      </c>
      <c r="M250" s="53"/>
    </row>
    <row r="251" customFormat="false" ht="15" hidden="false" customHeight="false" outlineLevel="0" collapsed="false">
      <c r="A251" s="47" t="str">
        <f aca="false">IF(B251="","",A250+1)</f>
        <v/>
      </c>
      <c r="B251" s="48"/>
      <c r="C251" s="49"/>
      <c r="D251" s="50"/>
      <c r="E251" s="49"/>
      <c r="F251" s="49"/>
      <c r="G251" s="48"/>
      <c r="H251" s="48"/>
      <c r="I251" s="48"/>
      <c r="J251" s="48"/>
      <c r="K251" s="51"/>
      <c r="L251" s="52" t="n">
        <f aca="false">IFERROR(J251*K251,"")</f>
        <v>0</v>
      </c>
      <c r="M251" s="53"/>
    </row>
    <row r="252" customFormat="false" ht="15" hidden="false" customHeight="false" outlineLevel="0" collapsed="false">
      <c r="A252" s="47" t="str">
        <f aca="false">IF(B252="","",A251+1)</f>
        <v/>
      </c>
      <c r="B252" s="48"/>
      <c r="C252" s="49"/>
      <c r="D252" s="50"/>
      <c r="E252" s="49"/>
      <c r="F252" s="49"/>
      <c r="G252" s="48"/>
      <c r="H252" s="48"/>
      <c r="I252" s="48"/>
      <c r="J252" s="48"/>
      <c r="K252" s="51"/>
      <c r="L252" s="52" t="n">
        <f aca="false">IFERROR(J252*K252,"")</f>
        <v>0</v>
      </c>
      <c r="M252" s="53"/>
    </row>
    <row r="253" customFormat="false" ht="15" hidden="false" customHeight="false" outlineLevel="0" collapsed="false">
      <c r="A253" s="47" t="str">
        <f aca="false">IF(B253="","",A252+1)</f>
        <v/>
      </c>
      <c r="B253" s="48"/>
      <c r="C253" s="49"/>
      <c r="D253" s="50"/>
      <c r="E253" s="49"/>
      <c r="F253" s="49"/>
      <c r="G253" s="48"/>
      <c r="H253" s="48"/>
      <c r="I253" s="48"/>
      <c r="J253" s="48"/>
      <c r="K253" s="51"/>
      <c r="L253" s="52" t="n">
        <f aca="false">IFERROR(J253*K253,"")</f>
        <v>0</v>
      </c>
      <c r="M253" s="53"/>
    </row>
    <row r="254" customFormat="false" ht="15" hidden="false" customHeight="false" outlineLevel="0" collapsed="false">
      <c r="A254" s="47" t="str">
        <f aca="false">IF(B254="","",A253+1)</f>
        <v/>
      </c>
      <c r="B254" s="48"/>
      <c r="C254" s="49"/>
      <c r="D254" s="50"/>
      <c r="E254" s="49"/>
      <c r="F254" s="49"/>
      <c r="G254" s="48"/>
      <c r="H254" s="48"/>
      <c r="I254" s="48"/>
      <c r="J254" s="48"/>
      <c r="K254" s="51"/>
      <c r="L254" s="52" t="n">
        <f aca="false">IFERROR(J254*K254,"")</f>
        <v>0</v>
      </c>
      <c r="M254" s="53"/>
    </row>
    <row r="255" customFormat="false" ht="15" hidden="false" customHeight="false" outlineLevel="0" collapsed="false">
      <c r="A255" s="47" t="str">
        <f aca="false">IF(B255="","",A254+1)</f>
        <v/>
      </c>
      <c r="B255" s="48"/>
      <c r="C255" s="49"/>
      <c r="D255" s="50"/>
      <c r="E255" s="49"/>
      <c r="F255" s="49"/>
      <c r="G255" s="48"/>
      <c r="H255" s="48"/>
      <c r="I255" s="48"/>
      <c r="J255" s="48"/>
      <c r="K255" s="51"/>
      <c r="L255" s="52" t="n">
        <f aca="false">IFERROR(J255*K255,"")</f>
        <v>0</v>
      </c>
      <c r="M255" s="53"/>
    </row>
    <row r="256" customFormat="false" ht="15" hidden="false" customHeight="false" outlineLevel="0" collapsed="false">
      <c r="A256" s="47" t="str">
        <f aca="false">IF(B256="","",A255+1)</f>
        <v/>
      </c>
      <c r="B256" s="48"/>
      <c r="C256" s="49"/>
      <c r="D256" s="50"/>
      <c r="E256" s="49"/>
      <c r="F256" s="49"/>
      <c r="G256" s="48"/>
      <c r="H256" s="48"/>
      <c r="I256" s="48"/>
      <c r="J256" s="48"/>
      <c r="K256" s="51"/>
      <c r="L256" s="52" t="n">
        <f aca="false">IFERROR(J256*K256,"")</f>
        <v>0</v>
      </c>
      <c r="M256" s="53"/>
    </row>
    <row r="257" customFormat="false" ht="15" hidden="false" customHeight="false" outlineLevel="0" collapsed="false">
      <c r="A257" s="47" t="str">
        <f aca="false">IF(B257="","",A256+1)</f>
        <v/>
      </c>
      <c r="B257" s="48"/>
      <c r="C257" s="49"/>
      <c r="D257" s="50"/>
      <c r="E257" s="49"/>
      <c r="F257" s="49"/>
      <c r="G257" s="48"/>
      <c r="H257" s="48"/>
      <c r="I257" s="48"/>
      <c r="J257" s="48"/>
      <c r="K257" s="51"/>
      <c r="L257" s="52" t="n">
        <f aca="false">IFERROR(J257*K257,"")</f>
        <v>0</v>
      </c>
      <c r="M257" s="53"/>
    </row>
    <row r="258" customFormat="false" ht="15" hidden="false" customHeight="false" outlineLevel="0" collapsed="false">
      <c r="A258" s="47" t="str">
        <f aca="false">IF(B258="","",A257+1)</f>
        <v/>
      </c>
      <c r="B258" s="48"/>
      <c r="C258" s="49"/>
      <c r="D258" s="50"/>
      <c r="E258" s="49"/>
      <c r="F258" s="49"/>
      <c r="G258" s="48"/>
      <c r="H258" s="48"/>
      <c r="I258" s="48"/>
      <c r="J258" s="48"/>
      <c r="K258" s="51"/>
      <c r="L258" s="52" t="n">
        <f aca="false">IFERROR(J258*K258,"")</f>
        <v>0</v>
      </c>
      <c r="M258" s="53"/>
    </row>
    <row r="259" customFormat="false" ht="15" hidden="false" customHeight="false" outlineLevel="0" collapsed="false">
      <c r="A259" s="47" t="str">
        <f aca="false">IF(B259="","",A258+1)</f>
        <v/>
      </c>
      <c r="B259" s="48"/>
      <c r="C259" s="49"/>
      <c r="D259" s="50"/>
      <c r="E259" s="49"/>
      <c r="F259" s="49"/>
      <c r="G259" s="48"/>
      <c r="H259" s="48"/>
      <c r="I259" s="48"/>
      <c r="J259" s="48"/>
      <c r="K259" s="51"/>
      <c r="L259" s="52" t="n">
        <f aca="false">IFERROR(J259*K259,"")</f>
        <v>0</v>
      </c>
      <c r="M259" s="53"/>
    </row>
    <row r="260" customFormat="false" ht="15" hidden="false" customHeight="false" outlineLevel="0" collapsed="false">
      <c r="A260" s="47" t="str">
        <f aca="false">IF(B260="","",A259+1)</f>
        <v/>
      </c>
      <c r="B260" s="48"/>
      <c r="C260" s="49"/>
      <c r="D260" s="50"/>
      <c r="E260" s="49"/>
      <c r="F260" s="49"/>
      <c r="G260" s="48"/>
      <c r="H260" s="48"/>
      <c r="I260" s="48"/>
      <c r="J260" s="48"/>
      <c r="K260" s="51"/>
      <c r="L260" s="52" t="n">
        <f aca="false">IFERROR(J260*K260,"")</f>
        <v>0</v>
      </c>
      <c r="M260" s="53"/>
    </row>
    <row r="261" customFormat="false" ht="15" hidden="false" customHeight="false" outlineLevel="0" collapsed="false">
      <c r="A261" s="47" t="str">
        <f aca="false">IF(B261="","",A260+1)</f>
        <v/>
      </c>
      <c r="B261" s="48"/>
      <c r="C261" s="49"/>
      <c r="D261" s="50"/>
      <c r="E261" s="49"/>
      <c r="F261" s="49"/>
      <c r="G261" s="48"/>
      <c r="H261" s="48"/>
      <c r="I261" s="48"/>
      <c r="J261" s="48"/>
      <c r="K261" s="51"/>
      <c r="L261" s="52" t="n">
        <f aca="false">IFERROR(J261*K261,"")</f>
        <v>0</v>
      </c>
      <c r="M261" s="53"/>
    </row>
    <row r="262" customFormat="false" ht="15" hidden="false" customHeight="false" outlineLevel="0" collapsed="false">
      <c r="A262" s="47" t="str">
        <f aca="false">IF(B262="","",A261+1)</f>
        <v/>
      </c>
      <c r="B262" s="48"/>
      <c r="C262" s="49"/>
      <c r="D262" s="50"/>
      <c r="E262" s="49"/>
      <c r="F262" s="49"/>
      <c r="G262" s="48"/>
      <c r="H262" s="48"/>
      <c r="I262" s="48"/>
      <c r="J262" s="48"/>
      <c r="K262" s="51"/>
      <c r="L262" s="52" t="n">
        <f aca="false">IFERROR(J262*K262,"")</f>
        <v>0</v>
      </c>
      <c r="M262" s="53"/>
    </row>
    <row r="263" customFormat="false" ht="15" hidden="false" customHeight="false" outlineLevel="0" collapsed="false">
      <c r="A263" s="47" t="str">
        <f aca="false">IF(B263="","",A262+1)</f>
        <v/>
      </c>
      <c r="B263" s="48"/>
      <c r="C263" s="49"/>
      <c r="D263" s="50"/>
      <c r="E263" s="49"/>
      <c r="F263" s="49"/>
      <c r="G263" s="48"/>
      <c r="H263" s="48"/>
      <c r="I263" s="48"/>
      <c r="J263" s="48"/>
      <c r="K263" s="51"/>
      <c r="L263" s="52" t="n">
        <f aca="false">IFERROR(J263*K263,"")</f>
        <v>0</v>
      </c>
      <c r="M263" s="53"/>
    </row>
    <row r="264" customFormat="false" ht="15" hidden="false" customHeight="false" outlineLevel="0" collapsed="false">
      <c r="A264" s="47" t="str">
        <f aca="false">IF(B264="","",A263+1)</f>
        <v/>
      </c>
      <c r="B264" s="48"/>
      <c r="C264" s="49"/>
      <c r="D264" s="50"/>
      <c r="E264" s="49"/>
      <c r="F264" s="49"/>
      <c r="G264" s="48"/>
      <c r="H264" s="48"/>
      <c r="I264" s="48"/>
      <c r="J264" s="48"/>
      <c r="K264" s="51"/>
      <c r="L264" s="52" t="n">
        <f aca="false">IFERROR(J264*K264,"")</f>
        <v>0</v>
      </c>
      <c r="M264" s="53"/>
    </row>
    <row r="265" customFormat="false" ht="15" hidden="false" customHeight="false" outlineLevel="0" collapsed="false">
      <c r="A265" s="47" t="str">
        <f aca="false">IF(B265="","",A264+1)</f>
        <v/>
      </c>
      <c r="B265" s="48"/>
      <c r="C265" s="49"/>
      <c r="D265" s="50"/>
      <c r="E265" s="49"/>
      <c r="F265" s="49"/>
      <c r="G265" s="48"/>
      <c r="H265" s="48"/>
      <c r="I265" s="48"/>
      <c r="J265" s="48"/>
      <c r="K265" s="51"/>
      <c r="L265" s="52" t="n">
        <f aca="false">IFERROR(J265*K265,"")</f>
        <v>0</v>
      </c>
      <c r="M265" s="53"/>
    </row>
    <row r="266" customFormat="false" ht="15" hidden="false" customHeight="false" outlineLevel="0" collapsed="false">
      <c r="A266" s="47" t="str">
        <f aca="false">IF(B266="","",A265+1)</f>
        <v/>
      </c>
      <c r="B266" s="48"/>
      <c r="C266" s="49"/>
      <c r="D266" s="50"/>
      <c r="E266" s="49"/>
      <c r="F266" s="49"/>
      <c r="G266" s="48"/>
      <c r="H266" s="48"/>
      <c r="I266" s="48"/>
      <c r="J266" s="48"/>
      <c r="K266" s="51"/>
      <c r="L266" s="52" t="n">
        <f aca="false">IFERROR(J266*K266,"")</f>
        <v>0</v>
      </c>
      <c r="M266" s="53"/>
    </row>
    <row r="267" customFormat="false" ht="15" hidden="false" customHeight="false" outlineLevel="0" collapsed="false">
      <c r="A267" s="47" t="str">
        <f aca="false">IF(B267="","",A266+1)</f>
        <v/>
      </c>
      <c r="B267" s="48"/>
      <c r="C267" s="49"/>
      <c r="D267" s="50"/>
      <c r="E267" s="49"/>
      <c r="F267" s="49"/>
      <c r="G267" s="48"/>
      <c r="H267" s="48"/>
      <c r="I267" s="48"/>
      <c r="J267" s="48"/>
      <c r="K267" s="51"/>
      <c r="L267" s="52" t="n">
        <f aca="false">IFERROR(J267*K267,"")</f>
        <v>0</v>
      </c>
      <c r="M267" s="53"/>
    </row>
    <row r="268" customFormat="false" ht="15" hidden="false" customHeight="false" outlineLevel="0" collapsed="false">
      <c r="A268" s="47" t="str">
        <f aca="false">IF(B268="","",A267+1)</f>
        <v/>
      </c>
      <c r="B268" s="48"/>
      <c r="C268" s="49"/>
      <c r="D268" s="50"/>
      <c r="E268" s="49"/>
      <c r="F268" s="49"/>
      <c r="G268" s="48"/>
      <c r="H268" s="48"/>
      <c r="I268" s="48"/>
      <c r="J268" s="48"/>
      <c r="K268" s="51"/>
      <c r="L268" s="52" t="n">
        <f aca="false">IFERROR(J268*K268,"")</f>
        <v>0</v>
      </c>
      <c r="M268" s="53"/>
    </row>
    <row r="269" customFormat="false" ht="15" hidden="false" customHeight="false" outlineLevel="0" collapsed="false">
      <c r="A269" s="47" t="str">
        <f aca="false">IF(B269="","",A268+1)</f>
        <v/>
      </c>
      <c r="B269" s="48"/>
      <c r="C269" s="49"/>
      <c r="D269" s="50"/>
      <c r="E269" s="49"/>
      <c r="F269" s="49"/>
      <c r="G269" s="48"/>
      <c r="H269" s="48"/>
      <c r="I269" s="48"/>
      <c r="J269" s="48"/>
      <c r="K269" s="51"/>
      <c r="L269" s="52" t="n">
        <f aca="false">IFERROR(J269*K269,"")</f>
        <v>0</v>
      </c>
      <c r="M269" s="53"/>
    </row>
    <row r="270" customFormat="false" ht="15" hidden="false" customHeight="false" outlineLevel="0" collapsed="false">
      <c r="A270" s="47" t="str">
        <f aca="false">IF(B270="","",A269+1)</f>
        <v/>
      </c>
      <c r="B270" s="48"/>
      <c r="C270" s="49"/>
      <c r="D270" s="50"/>
      <c r="E270" s="49"/>
      <c r="F270" s="49"/>
      <c r="G270" s="48"/>
      <c r="H270" s="48"/>
      <c r="I270" s="48"/>
      <c r="J270" s="48"/>
      <c r="K270" s="51"/>
      <c r="L270" s="52" t="n">
        <f aca="false">IFERROR(J270*K270,"")</f>
        <v>0</v>
      </c>
      <c r="M270" s="53"/>
    </row>
    <row r="271" customFormat="false" ht="15" hidden="false" customHeight="false" outlineLevel="0" collapsed="false">
      <c r="A271" s="47" t="str">
        <f aca="false">IF(B271="","",A270+1)</f>
        <v/>
      </c>
      <c r="B271" s="48"/>
      <c r="C271" s="49"/>
      <c r="D271" s="50"/>
      <c r="E271" s="49"/>
      <c r="F271" s="49"/>
      <c r="G271" s="48"/>
      <c r="H271" s="48"/>
      <c r="I271" s="48"/>
      <c r="J271" s="48"/>
      <c r="K271" s="51"/>
      <c r="L271" s="52" t="n">
        <f aca="false">IFERROR(J271*K271,"")</f>
        <v>0</v>
      </c>
      <c r="M271" s="53"/>
    </row>
    <row r="272" customFormat="false" ht="15" hidden="false" customHeight="false" outlineLevel="0" collapsed="false">
      <c r="A272" s="47" t="str">
        <f aca="false">IF(B272="","",A271+1)</f>
        <v/>
      </c>
      <c r="B272" s="48"/>
      <c r="C272" s="49"/>
      <c r="D272" s="50"/>
      <c r="E272" s="49"/>
      <c r="F272" s="49"/>
      <c r="G272" s="48"/>
      <c r="H272" s="48"/>
      <c r="I272" s="48"/>
      <c r="J272" s="48"/>
      <c r="K272" s="51"/>
      <c r="L272" s="52" t="n">
        <f aca="false">IFERROR(J272*K272,"")</f>
        <v>0</v>
      </c>
      <c r="M272" s="53"/>
    </row>
    <row r="273" customFormat="false" ht="15" hidden="false" customHeight="false" outlineLevel="0" collapsed="false">
      <c r="A273" s="47" t="str">
        <f aca="false">IF(B273="","",A272+1)</f>
        <v/>
      </c>
      <c r="B273" s="48"/>
      <c r="C273" s="49"/>
      <c r="D273" s="50"/>
      <c r="E273" s="49"/>
      <c r="F273" s="49"/>
      <c r="G273" s="48"/>
      <c r="H273" s="48"/>
      <c r="I273" s="48"/>
      <c r="J273" s="48"/>
      <c r="K273" s="51"/>
      <c r="L273" s="52" t="n">
        <f aca="false">IFERROR(J273*K273,"")</f>
        <v>0</v>
      </c>
      <c r="M273" s="53"/>
    </row>
    <row r="274" customFormat="false" ht="15" hidden="false" customHeight="false" outlineLevel="0" collapsed="false">
      <c r="A274" s="47" t="str">
        <f aca="false">IF(B274="","",A273+1)</f>
        <v/>
      </c>
      <c r="B274" s="48"/>
      <c r="C274" s="49"/>
      <c r="D274" s="50"/>
      <c r="E274" s="49"/>
      <c r="F274" s="49"/>
      <c r="G274" s="48"/>
      <c r="H274" s="48"/>
      <c r="I274" s="48"/>
      <c r="J274" s="48"/>
      <c r="K274" s="51"/>
      <c r="L274" s="52" t="n">
        <f aca="false">IFERROR(J274*K274,"")</f>
        <v>0</v>
      </c>
      <c r="M274" s="53"/>
    </row>
    <row r="275" customFormat="false" ht="15" hidden="false" customHeight="false" outlineLevel="0" collapsed="false">
      <c r="A275" s="47" t="str">
        <f aca="false">IF(B275="","",A274+1)</f>
        <v/>
      </c>
      <c r="B275" s="48"/>
      <c r="C275" s="49"/>
      <c r="D275" s="50"/>
      <c r="E275" s="49"/>
      <c r="F275" s="49"/>
      <c r="G275" s="48"/>
      <c r="H275" s="48"/>
      <c r="I275" s="48"/>
      <c r="J275" s="48"/>
      <c r="K275" s="51"/>
      <c r="L275" s="52" t="n">
        <f aca="false">IFERROR(J275*K275,"")</f>
        <v>0</v>
      </c>
      <c r="M275" s="53"/>
    </row>
    <row r="276" customFormat="false" ht="15" hidden="false" customHeight="false" outlineLevel="0" collapsed="false">
      <c r="A276" s="47" t="str">
        <f aca="false">IF(B276="","",A275+1)</f>
        <v/>
      </c>
      <c r="B276" s="48"/>
      <c r="C276" s="49"/>
      <c r="D276" s="50"/>
      <c r="E276" s="49"/>
      <c r="F276" s="49"/>
      <c r="G276" s="48"/>
      <c r="H276" s="48"/>
      <c r="I276" s="48"/>
      <c r="J276" s="48"/>
      <c r="K276" s="51"/>
      <c r="L276" s="52" t="n">
        <f aca="false">IFERROR(J276*K276,"")</f>
        <v>0</v>
      </c>
      <c r="M276" s="53"/>
    </row>
    <row r="277" customFormat="false" ht="15" hidden="false" customHeight="false" outlineLevel="0" collapsed="false">
      <c r="A277" s="47" t="str">
        <f aca="false">IF(B277="","",A276+1)</f>
        <v/>
      </c>
      <c r="B277" s="48"/>
      <c r="C277" s="49"/>
      <c r="D277" s="50"/>
      <c r="E277" s="49"/>
      <c r="F277" s="49"/>
      <c r="G277" s="48"/>
      <c r="H277" s="48"/>
      <c r="I277" s="48"/>
      <c r="J277" s="48"/>
      <c r="K277" s="51"/>
      <c r="L277" s="52" t="n">
        <f aca="false">IFERROR(J277*K277,"")</f>
        <v>0</v>
      </c>
      <c r="M277" s="53"/>
    </row>
    <row r="278" customFormat="false" ht="15" hidden="false" customHeight="false" outlineLevel="0" collapsed="false">
      <c r="A278" s="47" t="str">
        <f aca="false">IF(B278="","",A277+1)</f>
        <v/>
      </c>
      <c r="B278" s="48"/>
      <c r="C278" s="49"/>
      <c r="D278" s="50"/>
      <c r="E278" s="49"/>
      <c r="F278" s="49"/>
      <c r="G278" s="48"/>
      <c r="H278" s="48"/>
      <c r="I278" s="48"/>
      <c r="J278" s="48"/>
      <c r="K278" s="51"/>
      <c r="L278" s="52" t="n">
        <f aca="false">IFERROR(J278*K278,"")</f>
        <v>0</v>
      </c>
      <c r="M278" s="53"/>
    </row>
    <row r="279" customFormat="false" ht="15" hidden="false" customHeight="false" outlineLevel="0" collapsed="false">
      <c r="A279" s="47" t="str">
        <f aca="false">IF(B279="","",A278+1)</f>
        <v/>
      </c>
      <c r="B279" s="48"/>
      <c r="C279" s="49"/>
      <c r="D279" s="50"/>
      <c r="E279" s="49"/>
      <c r="F279" s="49"/>
      <c r="G279" s="48"/>
      <c r="H279" s="48"/>
      <c r="I279" s="48"/>
      <c r="J279" s="48"/>
      <c r="K279" s="51"/>
      <c r="L279" s="52" t="n">
        <f aca="false">IFERROR(J279*K279,"")</f>
        <v>0</v>
      </c>
      <c r="M279" s="53"/>
    </row>
    <row r="280" customFormat="false" ht="15" hidden="false" customHeight="false" outlineLevel="0" collapsed="false">
      <c r="A280" s="47" t="str">
        <f aca="false">IF(B280="","",A279+1)</f>
        <v/>
      </c>
      <c r="B280" s="48"/>
      <c r="C280" s="49"/>
      <c r="D280" s="50"/>
      <c r="E280" s="49"/>
      <c r="F280" s="49"/>
      <c r="G280" s="48"/>
      <c r="H280" s="48"/>
      <c r="I280" s="48"/>
      <c r="J280" s="48"/>
      <c r="K280" s="51"/>
      <c r="L280" s="52" t="n">
        <f aca="false">IFERROR(J280*K280,"")</f>
        <v>0</v>
      </c>
      <c r="M280" s="53"/>
    </row>
    <row r="281" customFormat="false" ht="15" hidden="false" customHeight="false" outlineLevel="0" collapsed="false">
      <c r="A281" s="47" t="str">
        <f aca="false">IF(B281="","",A280+1)</f>
        <v/>
      </c>
      <c r="B281" s="48"/>
      <c r="C281" s="49"/>
      <c r="D281" s="50"/>
      <c r="E281" s="49"/>
      <c r="F281" s="49"/>
      <c r="G281" s="48"/>
      <c r="H281" s="48"/>
      <c r="I281" s="48"/>
      <c r="J281" s="48"/>
      <c r="K281" s="51"/>
      <c r="L281" s="52" t="n">
        <f aca="false">IFERROR(J281*K281,"")</f>
        <v>0</v>
      </c>
      <c r="M281" s="53"/>
    </row>
    <row r="282" customFormat="false" ht="15" hidden="false" customHeight="false" outlineLevel="0" collapsed="false">
      <c r="A282" s="47" t="str">
        <f aca="false">IF(B282="","",A281+1)</f>
        <v/>
      </c>
      <c r="B282" s="48"/>
      <c r="C282" s="49"/>
      <c r="D282" s="50"/>
      <c r="E282" s="49"/>
      <c r="F282" s="49"/>
      <c r="G282" s="48"/>
      <c r="H282" s="48"/>
      <c r="I282" s="48"/>
      <c r="J282" s="48"/>
      <c r="K282" s="51"/>
      <c r="L282" s="52" t="n">
        <f aca="false">IFERROR(J282*K282,"")</f>
        <v>0</v>
      </c>
      <c r="M282" s="53"/>
    </row>
    <row r="283" customFormat="false" ht="15" hidden="false" customHeight="false" outlineLevel="0" collapsed="false">
      <c r="A283" s="47" t="str">
        <f aca="false">IF(B283="","",A282+1)</f>
        <v/>
      </c>
      <c r="B283" s="48"/>
      <c r="C283" s="49"/>
      <c r="D283" s="50"/>
      <c r="E283" s="49"/>
      <c r="F283" s="49"/>
      <c r="G283" s="48"/>
      <c r="H283" s="48"/>
      <c r="I283" s="48"/>
      <c r="J283" s="48"/>
      <c r="K283" s="51"/>
      <c r="L283" s="52" t="n">
        <f aca="false">IFERROR(J283*K283,"")</f>
        <v>0</v>
      </c>
      <c r="M283" s="53"/>
    </row>
    <row r="284" customFormat="false" ht="15" hidden="false" customHeight="false" outlineLevel="0" collapsed="false">
      <c r="A284" s="47" t="str">
        <f aca="false">IF(B284="","",A283+1)</f>
        <v/>
      </c>
      <c r="B284" s="48"/>
      <c r="C284" s="49"/>
      <c r="D284" s="50"/>
      <c r="E284" s="49"/>
      <c r="F284" s="49"/>
      <c r="G284" s="48"/>
      <c r="H284" s="48"/>
      <c r="I284" s="48"/>
      <c r="J284" s="48"/>
      <c r="K284" s="51"/>
      <c r="L284" s="52" t="n">
        <f aca="false">IFERROR(J284*K284,"")</f>
        <v>0</v>
      </c>
      <c r="M284" s="53"/>
    </row>
    <row r="285" customFormat="false" ht="15" hidden="false" customHeight="false" outlineLevel="0" collapsed="false">
      <c r="A285" s="47" t="str">
        <f aca="false">IF(B285="","",A284+1)</f>
        <v/>
      </c>
      <c r="B285" s="48"/>
      <c r="C285" s="49"/>
      <c r="D285" s="50"/>
      <c r="E285" s="49"/>
      <c r="F285" s="49"/>
      <c r="G285" s="48"/>
      <c r="H285" s="48"/>
      <c r="I285" s="48"/>
      <c r="J285" s="48"/>
      <c r="K285" s="51"/>
      <c r="L285" s="52" t="n">
        <f aca="false">IFERROR(J285*K285,"")</f>
        <v>0</v>
      </c>
      <c r="M285" s="53"/>
    </row>
    <row r="286" customFormat="false" ht="15" hidden="false" customHeight="false" outlineLevel="0" collapsed="false">
      <c r="A286" s="47" t="str">
        <f aca="false">IF(B286="","",A285+1)</f>
        <v/>
      </c>
      <c r="B286" s="48"/>
      <c r="C286" s="49"/>
      <c r="D286" s="50"/>
      <c r="E286" s="49"/>
      <c r="F286" s="49"/>
      <c r="G286" s="48"/>
      <c r="H286" s="48"/>
      <c r="I286" s="48"/>
      <c r="J286" s="48"/>
      <c r="K286" s="51"/>
      <c r="L286" s="52" t="n">
        <f aca="false">IFERROR(J286*K286,"")</f>
        <v>0</v>
      </c>
      <c r="M286" s="53"/>
    </row>
    <row r="287" customFormat="false" ht="15" hidden="false" customHeight="false" outlineLevel="0" collapsed="false">
      <c r="A287" s="47" t="str">
        <f aca="false">IF(B287="","",A286+1)</f>
        <v/>
      </c>
      <c r="B287" s="48"/>
      <c r="C287" s="49"/>
      <c r="D287" s="50"/>
      <c r="E287" s="49"/>
      <c r="F287" s="49"/>
      <c r="G287" s="48"/>
      <c r="H287" s="48"/>
      <c r="I287" s="48"/>
      <c r="J287" s="48"/>
      <c r="K287" s="51"/>
      <c r="L287" s="52" t="n">
        <f aca="false">IFERROR(J287*K287,"")</f>
        <v>0</v>
      </c>
      <c r="M287" s="53"/>
    </row>
    <row r="288" customFormat="false" ht="15" hidden="false" customHeight="false" outlineLevel="0" collapsed="false">
      <c r="A288" s="47" t="str">
        <f aca="false">IF(B288="","",A287+1)</f>
        <v/>
      </c>
      <c r="B288" s="48"/>
      <c r="C288" s="49"/>
      <c r="D288" s="50"/>
      <c r="E288" s="49"/>
      <c r="F288" s="49"/>
      <c r="G288" s="48"/>
      <c r="H288" s="48"/>
      <c r="I288" s="48"/>
      <c r="J288" s="48"/>
      <c r="K288" s="51"/>
      <c r="L288" s="52" t="n">
        <f aca="false">IFERROR(J288*K288,"")</f>
        <v>0</v>
      </c>
      <c r="M288" s="53"/>
    </row>
    <row r="289" customFormat="false" ht="15" hidden="false" customHeight="false" outlineLevel="0" collapsed="false">
      <c r="A289" s="47" t="str">
        <f aca="false">IF(B289="","",A288+1)</f>
        <v/>
      </c>
      <c r="B289" s="48"/>
      <c r="C289" s="49"/>
      <c r="D289" s="50"/>
      <c r="E289" s="49"/>
      <c r="F289" s="49"/>
      <c r="G289" s="48"/>
      <c r="H289" s="48"/>
      <c r="I289" s="48"/>
      <c r="J289" s="48"/>
      <c r="K289" s="51"/>
      <c r="L289" s="52" t="n">
        <f aca="false">IFERROR(J289*K289,"")</f>
        <v>0</v>
      </c>
      <c r="M289" s="53"/>
    </row>
    <row r="290" customFormat="false" ht="15" hidden="false" customHeight="false" outlineLevel="0" collapsed="false">
      <c r="A290" s="47" t="str">
        <f aca="false">IF(B290="","",A289+1)</f>
        <v/>
      </c>
      <c r="B290" s="48"/>
      <c r="C290" s="49"/>
      <c r="D290" s="50"/>
      <c r="E290" s="49"/>
      <c r="F290" s="49"/>
      <c r="G290" s="48"/>
      <c r="H290" s="48"/>
      <c r="I290" s="48"/>
      <c r="J290" s="48"/>
      <c r="K290" s="51"/>
      <c r="L290" s="52" t="n">
        <f aca="false">IFERROR(J290*K290,"")</f>
        <v>0</v>
      </c>
      <c r="M290" s="53"/>
    </row>
    <row r="291" customFormat="false" ht="15" hidden="false" customHeight="false" outlineLevel="0" collapsed="false">
      <c r="A291" s="47" t="str">
        <f aca="false">IF(B291="","",A290+1)</f>
        <v/>
      </c>
      <c r="B291" s="48"/>
      <c r="C291" s="49"/>
      <c r="D291" s="50"/>
      <c r="E291" s="49"/>
      <c r="F291" s="49"/>
      <c r="G291" s="48"/>
      <c r="H291" s="48"/>
      <c r="I291" s="48"/>
      <c r="J291" s="48"/>
      <c r="K291" s="51"/>
      <c r="L291" s="52" t="n">
        <f aca="false">IFERROR(J291*K291,"")</f>
        <v>0</v>
      </c>
      <c r="M291" s="53"/>
    </row>
    <row r="292" customFormat="false" ht="15" hidden="false" customHeight="false" outlineLevel="0" collapsed="false">
      <c r="A292" s="47" t="str">
        <f aca="false">IF(B292="","",A291+1)</f>
        <v/>
      </c>
      <c r="B292" s="48"/>
      <c r="C292" s="49"/>
      <c r="D292" s="50"/>
      <c r="E292" s="49"/>
      <c r="F292" s="49"/>
      <c r="G292" s="48"/>
      <c r="H292" s="48"/>
      <c r="I292" s="48"/>
      <c r="J292" s="48"/>
      <c r="K292" s="51"/>
      <c r="L292" s="52" t="n">
        <f aca="false">IFERROR(J292*K292,"")</f>
        <v>0</v>
      </c>
      <c r="M292" s="53"/>
    </row>
    <row r="293" customFormat="false" ht="15" hidden="false" customHeight="false" outlineLevel="0" collapsed="false">
      <c r="A293" s="47" t="str">
        <f aca="false">IF(B293="","",A292+1)</f>
        <v/>
      </c>
      <c r="B293" s="48"/>
      <c r="C293" s="49"/>
      <c r="D293" s="50"/>
      <c r="E293" s="49"/>
      <c r="F293" s="49"/>
      <c r="G293" s="48"/>
      <c r="H293" s="48"/>
      <c r="I293" s="48"/>
      <c r="J293" s="48"/>
      <c r="K293" s="51"/>
      <c r="L293" s="52" t="n">
        <f aca="false">IFERROR(J293*K293,"")</f>
        <v>0</v>
      </c>
      <c r="M293" s="53"/>
    </row>
    <row r="294" customFormat="false" ht="15" hidden="false" customHeight="false" outlineLevel="0" collapsed="false">
      <c r="A294" s="47" t="str">
        <f aca="false">IF(B294="","",A293+1)</f>
        <v/>
      </c>
      <c r="B294" s="48"/>
      <c r="C294" s="49"/>
      <c r="D294" s="50"/>
      <c r="E294" s="49"/>
      <c r="F294" s="49"/>
      <c r="G294" s="48"/>
      <c r="H294" s="48"/>
      <c r="I294" s="48"/>
      <c r="J294" s="48"/>
      <c r="K294" s="51"/>
      <c r="L294" s="52" t="n">
        <f aca="false">IFERROR(J294*K294,"")</f>
        <v>0</v>
      </c>
      <c r="M294" s="53"/>
    </row>
    <row r="295" customFormat="false" ht="15" hidden="false" customHeight="false" outlineLevel="0" collapsed="false">
      <c r="A295" s="47" t="str">
        <f aca="false">IF(B295="","",A294+1)</f>
        <v/>
      </c>
      <c r="B295" s="48"/>
      <c r="C295" s="49"/>
      <c r="D295" s="50"/>
      <c r="E295" s="49"/>
      <c r="F295" s="49"/>
      <c r="G295" s="48"/>
      <c r="H295" s="48"/>
      <c r="I295" s="48"/>
      <c r="J295" s="48"/>
      <c r="K295" s="51"/>
      <c r="L295" s="52" t="n">
        <f aca="false">IFERROR(J295*K295,"")</f>
        <v>0</v>
      </c>
      <c r="M295" s="53"/>
    </row>
    <row r="296" customFormat="false" ht="15" hidden="false" customHeight="false" outlineLevel="0" collapsed="false">
      <c r="A296" s="47" t="str">
        <f aca="false">IF(B296="","",A295+1)</f>
        <v/>
      </c>
      <c r="B296" s="48"/>
      <c r="C296" s="49"/>
      <c r="D296" s="50"/>
      <c r="E296" s="49"/>
      <c r="F296" s="49"/>
      <c r="G296" s="48"/>
      <c r="H296" s="48"/>
      <c r="I296" s="48"/>
      <c r="J296" s="48"/>
      <c r="K296" s="51"/>
      <c r="L296" s="52" t="n">
        <f aca="false">IFERROR(J296*K296,"")</f>
        <v>0</v>
      </c>
      <c r="M296" s="53"/>
    </row>
    <row r="297" customFormat="false" ht="15" hidden="false" customHeight="false" outlineLevel="0" collapsed="false">
      <c r="A297" s="47" t="str">
        <f aca="false">IF(B297="","",A296+1)</f>
        <v/>
      </c>
      <c r="B297" s="48"/>
      <c r="C297" s="49"/>
      <c r="D297" s="50"/>
      <c r="E297" s="49"/>
      <c r="F297" s="49"/>
      <c r="G297" s="48"/>
      <c r="H297" s="48"/>
      <c r="I297" s="48"/>
      <c r="J297" s="48"/>
      <c r="K297" s="51"/>
      <c r="L297" s="52" t="n">
        <f aca="false">IFERROR(J297*K297,"")</f>
        <v>0</v>
      </c>
      <c r="M297" s="53"/>
    </row>
    <row r="298" customFormat="false" ht="15" hidden="false" customHeight="false" outlineLevel="0" collapsed="false">
      <c r="A298" s="47" t="str">
        <f aca="false">IF(B298="","",A297+1)</f>
        <v/>
      </c>
      <c r="B298" s="48"/>
      <c r="C298" s="49"/>
      <c r="D298" s="50"/>
      <c r="E298" s="49"/>
      <c r="F298" s="49"/>
      <c r="G298" s="48"/>
      <c r="H298" s="48"/>
      <c r="I298" s="48"/>
      <c r="J298" s="48"/>
      <c r="K298" s="51"/>
      <c r="L298" s="52" t="n">
        <f aca="false">IFERROR(J298*K298,"")</f>
        <v>0</v>
      </c>
      <c r="M298" s="53"/>
    </row>
    <row r="299" customFormat="false" ht="15" hidden="false" customHeight="false" outlineLevel="0" collapsed="false">
      <c r="A299" s="47" t="str">
        <f aca="false">IF(B299="","",A298+1)</f>
        <v/>
      </c>
      <c r="B299" s="48"/>
      <c r="C299" s="49"/>
      <c r="D299" s="50"/>
      <c r="E299" s="49"/>
      <c r="F299" s="49"/>
      <c r="G299" s="48"/>
      <c r="H299" s="48"/>
      <c r="I299" s="48"/>
      <c r="J299" s="48"/>
      <c r="K299" s="51"/>
      <c r="L299" s="52" t="n">
        <f aca="false">IFERROR(J299*K299,"")</f>
        <v>0</v>
      </c>
      <c r="M299" s="53"/>
    </row>
    <row r="300" customFormat="false" ht="15" hidden="false" customHeight="false" outlineLevel="0" collapsed="false">
      <c r="A300" s="47" t="str">
        <f aca="false">IF(B300="","",A299+1)</f>
        <v/>
      </c>
      <c r="B300" s="48"/>
      <c r="C300" s="49"/>
      <c r="D300" s="50"/>
      <c r="E300" s="49"/>
      <c r="F300" s="49"/>
      <c r="G300" s="48"/>
      <c r="H300" s="48"/>
      <c r="I300" s="48"/>
      <c r="J300" s="48"/>
      <c r="K300" s="51"/>
      <c r="L300" s="52" t="n">
        <f aca="false">IFERROR(J300*K300,"")</f>
        <v>0</v>
      </c>
      <c r="M300" s="53"/>
    </row>
    <row r="301" customFormat="false" ht="15" hidden="false" customHeight="false" outlineLevel="0" collapsed="false">
      <c r="A301" s="47" t="str">
        <f aca="false">IF(B301="","",A300+1)</f>
        <v/>
      </c>
      <c r="B301" s="48"/>
      <c r="C301" s="49"/>
      <c r="D301" s="50"/>
      <c r="E301" s="49"/>
      <c r="F301" s="49"/>
      <c r="G301" s="48"/>
      <c r="H301" s="48"/>
      <c r="I301" s="48"/>
      <c r="J301" s="48"/>
      <c r="K301" s="51"/>
      <c r="L301" s="52" t="n">
        <f aca="false">IFERROR(J301*K301,"")</f>
        <v>0</v>
      </c>
      <c r="M301" s="53"/>
    </row>
    <row r="302" customFormat="false" ht="15" hidden="false" customHeight="false" outlineLevel="0" collapsed="false">
      <c r="A302" s="47" t="str">
        <f aca="false">IF(B302="","",A301+1)</f>
        <v/>
      </c>
      <c r="B302" s="48"/>
      <c r="C302" s="49"/>
      <c r="D302" s="50"/>
      <c r="E302" s="49"/>
      <c r="F302" s="49"/>
      <c r="G302" s="48"/>
      <c r="H302" s="48"/>
      <c r="I302" s="48"/>
      <c r="J302" s="48"/>
      <c r="K302" s="51"/>
      <c r="L302" s="52" t="n">
        <f aca="false">IFERROR(J302*K302,"")</f>
        <v>0</v>
      </c>
      <c r="M302" s="53"/>
    </row>
    <row r="303" customFormat="false" ht="15" hidden="false" customHeight="false" outlineLevel="0" collapsed="false">
      <c r="A303" s="47" t="str">
        <f aca="false">IF(B303="","",A302+1)</f>
        <v/>
      </c>
      <c r="B303" s="48"/>
      <c r="C303" s="49"/>
      <c r="D303" s="50"/>
      <c r="E303" s="49"/>
      <c r="F303" s="49"/>
      <c r="G303" s="48"/>
      <c r="H303" s="48"/>
      <c r="I303" s="48"/>
      <c r="J303" s="48"/>
      <c r="K303" s="51"/>
      <c r="L303" s="52" t="n">
        <f aca="false">IFERROR(J303*K303,"")</f>
        <v>0</v>
      </c>
      <c r="M303" s="53"/>
    </row>
    <row r="304" customFormat="false" ht="15" hidden="false" customHeight="false" outlineLevel="0" collapsed="false">
      <c r="A304" s="47" t="str">
        <f aca="false">IF(B304="","",A303+1)</f>
        <v/>
      </c>
      <c r="B304" s="48"/>
      <c r="C304" s="49"/>
      <c r="D304" s="50"/>
      <c r="E304" s="49"/>
      <c r="F304" s="49"/>
      <c r="G304" s="48"/>
      <c r="H304" s="48"/>
      <c r="I304" s="48"/>
      <c r="J304" s="48"/>
      <c r="K304" s="51"/>
      <c r="L304" s="52" t="n">
        <f aca="false">IFERROR(J304*K304,"")</f>
        <v>0</v>
      </c>
      <c r="M304" s="53"/>
    </row>
    <row r="305" customFormat="false" ht="15" hidden="false" customHeight="false" outlineLevel="0" collapsed="false">
      <c r="A305" s="47" t="str">
        <f aca="false">IF(B305="","",A304+1)</f>
        <v/>
      </c>
      <c r="B305" s="48"/>
      <c r="C305" s="49"/>
      <c r="D305" s="50"/>
      <c r="E305" s="49"/>
      <c r="F305" s="49"/>
      <c r="G305" s="48"/>
      <c r="H305" s="48"/>
      <c r="I305" s="48"/>
      <c r="J305" s="48"/>
      <c r="K305" s="51"/>
      <c r="L305" s="52" t="n">
        <f aca="false">IFERROR(J305*K305,"")</f>
        <v>0</v>
      </c>
      <c r="M305" s="53"/>
    </row>
    <row r="306" customFormat="false" ht="15" hidden="false" customHeight="false" outlineLevel="0" collapsed="false">
      <c r="A306" s="47" t="str">
        <f aca="false">IF(B306="","",A305+1)</f>
        <v/>
      </c>
      <c r="B306" s="48"/>
      <c r="C306" s="49"/>
      <c r="D306" s="50"/>
      <c r="E306" s="49"/>
      <c r="F306" s="49"/>
      <c r="G306" s="48"/>
      <c r="H306" s="48"/>
      <c r="I306" s="48"/>
      <c r="J306" s="48"/>
      <c r="K306" s="51"/>
      <c r="L306" s="52" t="n">
        <f aca="false">IFERROR(J306*K306,"")</f>
        <v>0</v>
      </c>
      <c r="M306" s="53"/>
    </row>
    <row r="307" customFormat="false" ht="15" hidden="false" customHeight="false" outlineLevel="0" collapsed="false">
      <c r="A307" s="47" t="str">
        <f aca="false">IF(B307="","",A306+1)</f>
        <v/>
      </c>
      <c r="B307" s="48"/>
      <c r="C307" s="49"/>
      <c r="D307" s="50"/>
      <c r="E307" s="49"/>
      <c r="F307" s="49"/>
      <c r="G307" s="48"/>
      <c r="H307" s="48"/>
      <c r="I307" s="48"/>
      <c r="J307" s="48"/>
      <c r="K307" s="51"/>
      <c r="L307" s="52" t="n">
        <f aca="false">IFERROR(J307*K307,"")</f>
        <v>0</v>
      </c>
      <c r="M307" s="53"/>
    </row>
    <row r="308" customFormat="false" ht="15" hidden="false" customHeight="false" outlineLevel="0" collapsed="false">
      <c r="A308" s="47" t="str">
        <f aca="false">IF(B308="","",A307+1)</f>
        <v/>
      </c>
      <c r="B308" s="48"/>
      <c r="C308" s="49"/>
      <c r="D308" s="50"/>
      <c r="E308" s="49"/>
      <c r="F308" s="49"/>
      <c r="G308" s="48"/>
      <c r="H308" s="48"/>
      <c r="I308" s="48"/>
      <c r="J308" s="48"/>
      <c r="K308" s="51"/>
      <c r="L308" s="52" t="n">
        <f aca="false">IFERROR(J308*K308,"")</f>
        <v>0</v>
      </c>
      <c r="M308" s="53"/>
    </row>
    <row r="309" customFormat="false" ht="15" hidden="false" customHeight="false" outlineLevel="0" collapsed="false">
      <c r="A309" s="47" t="str">
        <f aca="false">IF(B309="","",A308+1)</f>
        <v/>
      </c>
      <c r="B309" s="48"/>
      <c r="C309" s="49"/>
      <c r="D309" s="50"/>
      <c r="E309" s="49"/>
      <c r="F309" s="49"/>
      <c r="G309" s="48"/>
      <c r="H309" s="48"/>
      <c r="I309" s="48"/>
      <c r="J309" s="48"/>
      <c r="K309" s="51"/>
      <c r="L309" s="52" t="n">
        <f aca="false">IFERROR(J309*K309,"")</f>
        <v>0</v>
      </c>
      <c r="M309" s="53"/>
    </row>
    <row r="310" customFormat="false" ht="15" hidden="false" customHeight="false" outlineLevel="0" collapsed="false">
      <c r="A310" s="47" t="str">
        <f aca="false">IF(B310="","",A309+1)</f>
        <v/>
      </c>
      <c r="B310" s="48"/>
      <c r="C310" s="49"/>
      <c r="D310" s="50"/>
      <c r="E310" s="49"/>
      <c r="F310" s="49"/>
      <c r="G310" s="48"/>
      <c r="H310" s="48"/>
      <c r="I310" s="48"/>
      <c r="J310" s="48"/>
      <c r="K310" s="51"/>
      <c r="L310" s="52" t="n">
        <f aca="false">IFERROR(J310*K310,"")</f>
        <v>0</v>
      </c>
      <c r="M310" s="53"/>
    </row>
    <row r="311" customFormat="false" ht="15" hidden="false" customHeight="false" outlineLevel="0" collapsed="false">
      <c r="A311" s="47" t="str">
        <f aca="false">IF(B311="","",A310+1)</f>
        <v/>
      </c>
      <c r="B311" s="48"/>
      <c r="C311" s="49"/>
      <c r="D311" s="50"/>
      <c r="E311" s="49"/>
      <c r="F311" s="49"/>
      <c r="G311" s="48"/>
      <c r="H311" s="48"/>
      <c r="I311" s="48"/>
      <c r="J311" s="48"/>
      <c r="K311" s="51"/>
      <c r="L311" s="52" t="n">
        <f aca="false">IFERROR(J311*K311,"")</f>
        <v>0</v>
      </c>
      <c r="M311" s="53"/>
    </row>
    <row r="312" customFormat="false" ht="15" hidden="false" customHeight="false" outlineLevel="0" collapsed="false">
      <c r="A312" s="47" t="str">
        <f aca="false">IF(B312="","",A311+1)</f>
        <v/>
      </c>
      <c r="B312" s="48"/>
      <c r="C312" s="49"/>
      <c r="D312" s="50"/>
      <c r="E312" s="49"/>
      <c r="F312" s="49"/>
      <c r="G312" s="48"/>
      <c r="H312" s="48"/>
      <c r="I312" s="48"/>
      <c r="J312" s="48"/>
      <c r="K312" s="51"/>
      <c r="L312" s="52" t="n">
        <f aca="false">IFERROR(J312*K312,"")</f>
        <v>0</v>
      </c>
      <c r="M312" s="53"/>
    </row>
    <row r="313" customFormat="false" ht="15" hidden="false" customHeight="false" outlineLevel="0" collapsed="false">
      <c r="A313" s="47" t="str">
        <f aca="false">IF(B313="","",A312+1)</f>
        <v/>
      </c>
      <c r="B313" s="48"/>
      <c r="C313" s="49"/>
      <c r="D313" s="50"/>
      <c r="E313" s="49"/>
      <c r="F313" s="49"/>
      <c r="G313" s="48"/>
      <c r="H313" s="48"/>
      <c r="I313" s="48"/>
      <c r="J313" s="48"/>
      <c r="K313" s="51"/>
      <c r="L313" s="52" t="n">
        <f aca="false">IFERROR(J313*K313,"")</f>
        <v>0</v>
      </c>
      <c r="M313" s="53"/>
    </row>
    <row r="314" customFormat="false" ht="15" hidden="false" customHeight="false" outlineLevel="0" collapsed="false">
      <c r="A314" s="47" t="str">
        <f aca="false">IF(B314="","",A313+1)</f>
        <v/>
      </c>
      <c r="B314" s="48"/>
      <c r="C314" s="49"/>
      <c r="D314" s="50"/>
      <c r="E314" s="49"/>
      <c r="F314" s="49"/>
      <c r="G314" s="48"/>
      <c r="H314" s="48"/>
      <c r="I314" s="48"/>
      <c r="J314" s="48"/>
      <c r="K314" s="51"/>
      <c r="L314" s="52" t="n">
        <f aca="false">IFERROR(J314*K314,"")</f>
        <v>0</v>
      </c>
      <c r="M314" s="53"/>
    </row>
    <row r="315" customFormat="false" ht="15" hidden="false" customHeight="false" outlineLevel="0" collapsed="false">
      <c r="A315" s="47" t="str">
        <f aca="false">IF(B315="","",A314+1)</f>
        <v/>
      </c>
      <c r="B315" s="48"/>
      <c r="C315" s="49"/>
      <c r="D315" s="50"/>
      <c r="E315" s="49"/>
      <c r="F315" s="49"/>
      <c r="G315" s="48"/>
      <c r="H315" s="48"/>
      <c r="I315" s="48"/>
      <c r="J315" s="48"/>
      <c r="K315" s="51"/>
      <c r="L315" s="52" t="n">
        <f aca="false">IFERROR(J315*K315,"")</f>
        <v>0</v>
      </c>
      <c r="M315" s="53"/>
    </row>
    <row r="316" customFormat="false" ht="15" hidden="false" customHeight="false" outlineLevel="0" collapsed="false">
      <c r="A316" s="47" t="str">
        <f aca="false">IF(B316="","",A315+1)</f>
        <v/>
      </c>
      <c r="B316" s="48"/>
      <c r="C316" s="49"/>
      <c r="D316" s="50"/>
      <c r="E316" s="49"/>
      <c r="F316" s="49"/>
      <c r="G316" s="48"/>
      <c r="H316" s="48"/>
      <c r="I316" s="48"/>
      <c r="J316" s="48"/>
      <c r="K316" s="51"/>
      <c r="L316" s="52" t="n">
        <f aca="false">IFERROR(J316*K316,"")</f>
        <v>0</v>
      </c>
      <c r="M316" s="53"/>
    </row>
    <row r="317" customFormat="false" ht="15" hidden="false" customHeight="false" outlineLevel="0" collapsed="false">
      <c r="A317" s="47" t="str">
        <f aca="false">IF(B317="","",A316+1)</f>
        <v/>
      </c>
      <c r="B317" s="48"/>
      <c r="C317" s="49"/>
      <c r="D317" s="50"/>
      <c r="E317" s="49"/>
      <c r="F317" s="49"/>
      <c r="G317" s="48"/>
      <c r="H317" s="48"/>
      <c r="I317" s="48"/>
      <c r="J317" s="48"/>
      <c r="K317" s="51"/>
      <c r="L317" s="52" t="n">
        <f aca="false">IFERROR(J317*K317,"")</f>
        <v>0</v>
      </c>
      <c r="M317" s="53"/>
    </row>
    <row r="318" customFormat="false" ht="15" hidden="false" customHeight="false" outlineLevel="0" collapsed="false">
      <c r="A318" s="47" t="str">
        <f aca="false">IF(B318="","",A317+1)</f>
        <v/>
      </c>
      <c r="B318" s="48"/>
      <c r="C318" s="49"/>
      <c r="D318" s="50"/>
      <c r="E318" s="49"/>
      <c r="F318" s="49"/>
      <c r="G318" s="48"/>
      <c r="H318" s="48"/>
      <c r="I318" s="48"/>
      <c r="J318" s="48"/>
      <c r="K318" s="51"/>
      <c r="L318" s="52" t="n">
        <f aca="false">IFERROR(J318*K318,"")</f>
        <v>0</v>
      </c>
      <c r="M318" s="53"/>
    </row>
    <row r="319" customFormat="false" ht="15" hidden="false" customHeight="false" outlineLevel="0" collapsed="false">
      <c r="A319" s="47" t="str">
        <f aca="false">IF(B319="","",A318+1)</f>
        <v/>
      </c>
      <c r="B319" s="48"/>
      <c r="C319" s="49"/>
      <c r="D319" s="50"/>
      <c r="E319" s="49"/>
      <c r="F319" s="49"/>
      <c r="G319" s="48"/>
      <c r="H319" s="48"/>
      <c r="I319" s="48"/>
      <c r="J319" s="48"/>
      <c r="K319" s="51"/>
      <c r="L319" s="52" t="n">
        <f aca="false">IFERROR(J319*K319,"")</f>
        <v>0</v>
      </c>
      <c r="M319" s="53"/>
    </row>
    <row r="320" customFormat="false" ht="15" hidden="false" customHeight="false" outlineLevel="0" collapsed="false">
      <c r="A320" s="47" t="str">
        <f aca="false">IF(B320="","",A319+1)</f>
        <v/>
      </c>
      <c r="B320" s="48"/>
      <c r="C320" s="49"/>
      <c r="D320" s="50"/>
      <c r="E320" s="49"/>
      <c r="F320" s="49"/>
      <c r="G320" s="48"/>
      <c r="H320" s="48"/>
      <c r="I320" s="48"/>
      <c r="J320" s="48"/>
      <c r="K320" s="51"/>
      <c r="L320" s="52" t="n">
        <f aca="false">IFERROR(J320*K320,"")</f>
        <v>0</v>
      </c>
      <c r="M320" s="53"/>
    </row>
    <row r="321" customFormat="false" ht="15" hidden="false" customHeight="false" outlineLevel="0" collapsed="false">
      <c r="A321" s="47" t="str">
        <f aca="false">IF(B321="","",A320+1)</f>
        <v/>
      </c>
      <c r="B321" s="48"/>
      <c r="C321" s="49"/>
      <c r="D321" s="50"/>
      <c r="E321" s="49"/>
      <c r="F321" s="49"/>
      <c r="G321" s="48"/>
      <c r="H321" s="48"/>
      <c r="I321" s="48"/>
      <c r="J321" s="48"/>
      <c r="K321" s="51"/>
      <c r="L321" s="52" t="n">
        <f aca="false">IFERROR(J321*K321,"")</f>
        <v>0</v>
      </c>
      <c r="M321" s="53"/>
    </row>
    <row r="322" customFormat="false" ht="15" hidden="false" customHeight="false" outlineLevel="0" collapsed="false">
      <c r="A322" s="47" t="str">
        <f aca="false">IF(B322="","",A321+1)</f>
        <v/>
      </c>
      <c r="B322" s="48"/>
      <c r="C322" s="49"/>
      <c r="D322" s="50"/>
      <c r="E322" s="49"/>
      <c r="F322" s="49"/>
      <c r="G322" s="48"/>
      <c r="H322" s="48"/>
      <c r="I322" s="48"/>
      <c r="J322" s="48"/>
      <c r="K322" s="51"/>
      <c r="L322" s="52" t="n">
        <f aca="false">IFERROR(J322*K322,"")</f>
        <v>0</v>
      </c>
      <c r="M322" s="53"/>
    </row>
    <row r="323" customFormat="false" ht="15" hidden="false" customHeight="false" outlineLevel="0" collapsed="false">
      <c r="A323" s="47" t="str">
        <f aca="false">IF(B323="","",A322+1)</f>
        <v/>
      </c>
      <c r="B323" s="48"/>
      <c r="C323" s="49"/>
      <c r="D323" s="50"/>
      <c r="E323" s="49"/>
      <c r="F323" s="49"/>
      <c r="G323" s="48"/>
      <c r="H323" s="48"/>
      <c r="I323" s="48"/>
      <c r="J323" s="48"/>
      <c r="K323" s="51"/>
      <c r="L323" s="52" t="n">
        <f aca="false">IFERROR(J323*K323,"")</f>
        <v>0</v>
      </c>
      <c r="M323" s="53"/>
    </row>
    <row r="324" customFormat="false" ht="15" hidden="false" customHeight="false" outlineLevel="0" collapsed="false">
      <c r="A324" s="47" t="str">
        <f aca="false">IF(B324="","",A323+1)</f>
        <v/>
      </c>
      <c r="B324" s="48"/>
      <c r="C324" s="49"/>
      <c r="D324" s="50"/>
      <c r="E324" s="49"/>
      <c r="F324" s="49"/>
      <c r="G324" s="48"/>
      <c r="H324" s="48"/>
      <c r="I324" s="48"/>
      <c r="J324" s="48"/>
      <c r="K324" s="51"/>
      <c r="L324" s="52" t="n">
        <f aca="false">IFERROR(J324*K324,"")</f>
        <v>0</v>
      </c>
      <c r="M324" s="53"/>
    </row>
    <row r="325" customFormat="false" ht="15" hidden="false" customHeight="false" outlineLevel="0" collapsed="false">
      <c r="A325" s="47" t="str">
        <f aca="false">IF(B325="","",A324+1)</f>
        <v/>
      </c>
      <c r="B325" s="48"/>
      <c r="C325" s="49"/>
      <c r="D325" s="50"/>
      <c r="E325" s="49"/>
      <c r="F325" s="49"/>
      <c r="G325" s="48"/>
      <c r="H325" s="48"/>
      <c r="I325" s="48"/>
      <c r="J325" s="48"/>
      <c r="K325" s="51"/>
      <c r="L325" s="52" t="n">
        <f aca="false">IFERROR(J325*K325,"")</f>
        <v>0</v>
      </c>
      <c r="M325" s="53"/>
    </row>
    <row r="326" customFormat="false" ht="15" hidden="false" customHeight="false" outlineLevel="0" collapsed="false">
      <c r="A326" s="47" t="str">
        <f aca="false">IF(B326="","",A325+1)</f>
        <v/>
      </c>
      <c r="B326" s="48"/>
      <c r="C326" s="49"/>
      <c r="D326" s="50"/>
      <c r="E326" s="49"/>
      <c r="F326" s="49"/>
      <c r="G326" s="48"/>
      <c r="H326" s="48"/>
      <c r="I326" s="48"/>
      <c r="J326" s="48"/>
      <c r="K326" s="51"/>
      <c r="L326" s="52" t="n">
        <f aca="false">IFERROR(J326*K326,"")</f>
        <v>0</v>
      </c>
      <c r="M326" s="53"/>
    </row>
    <row r="327" customFormat="false" ht="15" hidden="false" customHeight="false" outlineLevel="0" collapsed="false">
      <c r="A327" s="47" t="str">
        <f aca="false">IF(B327="","",A326+1)</f>
        <v/>
      </c>
      <c r="B327" s="48"/>
      <c r="C327" s="49"/>
      <c r="D327" s="50"/>
      <c r="E327" s="49"/>
      <c r="F327" s="49"/>
      <c r="G327" s="48"/>
      <c r="H327" s="48"/>
      <c r="I327" s="48"/>
      <c r="J327" s="48"/>
      <c r="K327" s="51"/>
      <c r="L327" s="52" t="n">
        <f aca="false">IFERROR(J327*K327,"")</f>
        <v>0</v>
      </c>
      <c r="M327" s="53"/>
    </row>
    <row r="328" customFormat="false" ht="15" hidden="false" customHeight="false" outlineLevel="0" collapsed="false">
      <c r="A328" s="47" t="str">
        <f aca="false">IF(B328="","",A327+1)</f>
        <v/>
      </c>
      <c r="B328" s="48"/>
      <c r="C328" s="49"/>
      <c r="D328" s="50"/>
      <c r="E328" s="49"/>
      <c r="F328" s="49"/>
      <c r="G328" s="48"/>
      <c r="H328" s="48"/>
      <c r="I328" s="48"/>
      <c r="J328" s="48"/>
      <c r="K328" s="51"/>
      <c r="L328" s="52" t="n">
        <f aca="false">IFERROR(J328*K328,"")</f>
        <v>0</v>
      </c>
      <c r="M328" s="53"/>
    </row>
    <row r="329" customFormat="false" ht="15" hidden="false" customHeight="false" outlineLevel="0" collapsed="false">
      <c r="A329" s="47" t="str">
        <f aca="false">IF(B329="","",A328+1)</f>
        <v/>
      </c>
      <c r="B329" s="48"/>
      <c r="C329" s="49"/>
      <c r="D329" s="50"/>
      <c r="E329" s="49"/>
      <c r="F329" s="49"/>
      <c r="G329" s="48"/>
      <c r="H329" s="48"/>
      <c r="I329" s="48"/>
      <c r="J329" s="48"/>
      <c r="K329" s="51"/>
      <c r="L329" s="52" t="n">
        <f aca="false">IFERROR(J329*K329,"")</f>
        <v>0</v>
      </c>
      <c r="M329" s="53"/>
    </row>
    <row r="330" customFormat="false" ht="15" hidden="false" customHeight="false" outlineLevel="0" collapsed="false">
      <c r="A330" s="47" t="str">
        <f aca="false">IF(B330="","",A329+1)</f>
        <v/>
      </c>
      <c r="B330" s="48"/>
      <c r="C330" s="49"/>
      <c r="D330" s="50"/>
      <c r="E330" s="49"/>
      <c r="F330" s="49"/>
      <c r="G330" s="48"/>
      <c r="H330" s="48"/>
      <c r="I330" s="48"/>
      <c r="J330" s="48"/>
      <c r="K330" s="51"/>
      <c r="L330" s="52" t="n">
        <f aca="false">IFERROR(J330*K330,"")</f>
        <v>0</v>
      </c>
      <c r="M330" s="53"/>
    </row>
    <row r="331" customFormat="false" ht="15" hidden="false" customHeight="false" outlineLevel="0" collapsed="false">
      <c r="A331" s="47" t="str">
        <f aca="false">IF(B331="","",A330+1)</f>
        <v/>
      </c>
      <c r="B331" s="48"/>
      <c r="C331" s="49"/>
      <c r="D331" s="50"/>
      <c r="E331" s="49"/>
      <c r="F331" s="49"/>
      <c r="G331" s="48"/>
      <c r="H331" s="48"/>
      <c r="I331" s="48"/>
      <c r="J331" s="48"/>
      <c r="K331" s="51"/>
      <c r="L331" s="52" t="n">
        <f aca="false">IFERROR(J331*K331,"")</f>
        <v>0</v>
      </c>
      <c r="M331" s="53"/>
    </row>
    <row r="332" customFormat="false" ht="15" hidden="false" customHeight="false" outlineLevel="0" collapsed="false">
      <c r="A332" s="47" t="str">
        <f aca="false">IF(B332="","",A331+1)</f>
        <v/>
      </c>
      <c r="B332" s="48"/>
      <c r="C332" s="49"/>
      <c r="D332" s="50"/>
      <c r="E332" s="49"/>
      <c r="F332" s="49"/>
      <c r="G332" s="48"/>
      <c r="H332" s="48"/>
      <c r="I332" s="48"/>
      <c r="J332" s="48"/>
      <c r="K332" s="51"/>
      <c r="L332" s="52" t="n">
        <f aca="false">IFERROR(J332*K332,"")</f>
        <v>0</v>
      </c>
      <c r="M332" s="53"/>
    </row>
    <row r="333" customFormat="false" ht="15" hidden="false" customHeight="false" outlineLevel="0" collapsed="false">
      <c r="A333" s="47" t="str">
        <f aca="false">IF(B333="","",A332+1)</f>
        <v/>
      </c>
      <c r="B333" s="48"/>
      <c r="C333" s="49"/>
      <c r="D333" s="50"/>
      <c r="E333" s="49"/>
      <c r="F333" s="49"/>
      <c r="G333" s="48"/>
      <c r="H333" s="48"/>
      <c r="I333" s="48"/>
      <c r="J333" s="48"/>
      <c r="K333" s="51"/>
      <c r="L333" s="52" t="n">
        <f aca="false">IFERROR(J333*K333,"")</f>
        <v>0</v>
      </c>
      <c r="M333" s="53"/>
    </row>
    <row r="334" customFormat="false" ht="15" hidden="false" customHeight="false" outlineLevel="0" collapsed="false">
      <c r="A334" s="47" t="str">
        <f aca="false">IF(B334="","",A333+1)</f>
        <v/>
      </c>
      <c r="B334" s="48"/>
      <c r="C334" s="49"/>
      <c r="D334" s="50"/>
      <c r="E334" s="49"/>
      <c r="F334" s="49"/>
      <c r="G334" s="48"/>
      <c r="H334" s="48"/>
      <c r="I334" s="48"/>
      <c r="J334" s="48"/>
      <c r="K334" s="51"/>
      <c r="L334" s="52" t="n">
        <f aca="false">IFERROR(J334*K334,"")</f>
        <v>0</v>
      </c>
      <c r="M334" s="53"/>
    </row>
    <row r="335" customFormat="false" ht="15" hidden="false" customHeight="false" outlineLevel="0" collapsed="false">
      <c r="A335" s="47" t="str">
        <f aca="false">IF(B335="","",A334+1)</f>
        <v/>
      </c>
      <c r="B335" s="48"/>
      <c r="C335" s="49"/>
      <c r="D335" s="50"/>
      <c r="E335" s="49"/>
      <c r="F335" s="49"/>
      <c r="G335" s="48"/>
      <c r="H335" s="48"/>
      <c r="I335" s="48"/>
      <c r="J335" s="48"/>
      <c r="K335" s="51"/>
      <c r="L335" s="52" t="n">
        <f aca="false">IFERROR(J335*K335,"")</f>
        <v>0</v>
      </c>
      <c r="M335" s="53"/>
    </row>
    <row r="336" customFormat="false" ht="15" hidden="false" customHeight="false" outlineLevel="0" collapsed="false">
      <c r="A336" s="47" t="str">
        <f aca="false">IF(B336="","",A335+1)</f>
        <v/>
      </c>
      <c r="B336" s="48"/>
      <c r="C336" s="49"/>
      <c r="D336" s="50"/>
      <c r="E336" s="49"/>
      <c r="F336" s="49"/>
      <c r="G336" s="48"/>
      <c r="H336" s="48"/>
      <c r="I336" s="48"/>
      <c r="J336" s="48"/>
      <c r="K336" s="51"/>
      <c r="L336" s="52" t="n">
        <f aca="false">IFERROR(J336*K336,"")</f>
        <v>0</v>
      </c>
      <c r="M336" s="53"/>
    </row>
    <row r="337" customFormat="false" ht="15" hidden="false" customHeight="false" outlineLevel="0" collapsed="false">
      <c r="A337" s="47" t="str">
        <f aca="false">IF(B337="","",A336+1)</f>
        <v/>
      </c>
      <c r="B337" s="48"/>
      <c r="C337" s="49"/>
      <c r="D337" s="50"/>
      <c r="E337" s="49"/>
      <c r="F337" s="49"/>
      <c r="G337" s="48"/>
      <c r="H337" s="48"/>
      <c r="I337" s="48"/>
      <c r="J337" s="48"/>
      <c r="K337" s="51"/>
      <c r="L337" s="52" t="n">
        <f aca="false">IFERROR(J337*K337,"")</f>
        <v>0</v>
      </c>
      <c r="M337" s="53"/>
    </row>
    <row r="338" customFormat="false" ht="15" hidden="false" customHeight="false" outlineLevel="0" collapsed="false">
      <c r="A338" s="47" t="str">
        <f aca="false">IF(B338="","",A337+1)</f>
        <v/>
      </c>
      <c r="B338" s="48"/>
      <c r="C338" s="49"/>
      <c r="D338" s="50"/>
      <c r="E338" s="49"/>
      <c r="F338" s="49"/>
      <c r="G338" s="48"/>
      <c r="H338" s="48"/>
      <c r="I338" s="48"/>
      <c r="J338" s="48"/>
      <c r="K338" s="51"/>
      <c r="L338" s="52" t="n">
        <f aca="false">IFERROR(J338*K338,"")</f>
        <v>0</v>
      </c>
      <c r="M338" s="53"/>
    </row>
    <row r="339" customFormat="false" ht="15" hidden="false" customHeight="false" outlineLevel="0" collapsed="false">
      <c r="A339" s="47" t="str">
        <f aca="false">IF(B339="","",A338+1)</f>
        <v/>
      </c>
      <c r="B339" s="48"/>
      <c r="C339" s="49"/>
      <c r="D339" s="50"/>
      <c r="E339" s="49"/>
      <c r="F339" s="49"/>
      <c r="G339" s="48"/>
      <c r="H339" s="48"/>
      <c r="I339" s="48"/>
      <c r="J339" s="48"/>
      <c r="K339" s="51"/>
      <c r="L339" s="52" t="n">
        <f aca="false">IFERROR(J339*K339,"")</f>
        <v>0</v>
      </c>
      <c r="M339" s="53"/>
    </row>
    <row r="340" customFormat="false" ht="15" hidden="false" customHeight="false" outlineLevel="0" collapsed="false">
      <c r="A340" s="47" t="str">
        <f aca="false">IF(B340="","",A339+1)</f>
        <v/>
      </c>
      <c r="B340" s="48"/>
      <c r="C340" s="49"/>
      <c r="D340" s="50"/>
      <c r="E340" s="49"/>
      <c r="F340" s="49"/>
      <c r="G340" s="48"/>
      <c r="H340" s="48"/>
      <c r="I340" s="48"/>
      <c r="J340" s="48"/>
      <c r="K340" s="51"/>
      <c r="L340" s="52" t="n">
        <f aca="false">IFERROR(J340*K340,"")</f>
        <v>0</v>
      </c>
      <c r="M340" s="53"/>
    </row>
    <row r="341" customFormat="false" ht="15" hidden="false" customHeight="false" outlineLevel="0" collapsed="false">
      <c r="A341" s="47" t="str">
        <f aca="false">IF(B341="","",A340+1)</f>
        <v/>
      </c>
      <c r="B341" s="48"/>
      <c r="C341" s="49"/>
      <c r="D341" s="50"/>
      <c r="E341" s="49"/>
      <c r="F341" s="49"/>
      <c r="G341" s="48"/>
      <c r="H341" s="48"/>
      <c r="I341" s="48"/>
      <c r="J341" s="48"/>
      <c r="K341" s="51"/>
      <c r="L341" s="52" t="n">
        <f aca="false">IFERROR(J341*K341,"")</f>
        <v>0</v>
      </c>
      <c r="M341" s="53"/>
    </row>
    <row r="342" customFormat="false" ht="15" hidden="false" customHeight="false" outlineLevel="0" collapsed="false">
      <c r="A342" s="47" t="str">
        <f aca="false">IF(B342="","",A341+1)</f>
        <v/>
      </c>
      <c r="B342" s="48"/>
      <c r="C342" s="49"/>
      <c r="D342" s="50"/>
      <c r="E342" s="49"/>
      <c r="F342" s="49"/>
      <c r="G342" s="48"/>
      <c r="H342" s="48"/>
      <c r="I342" s="48"/>
      <c r="J342" s="48"/>
      <c r="K342" s="51"/>
      <c r="L342" s="52" t="n">
        <f aca="false">IFERROR(J342*K342,"")</f>
        <v>0</v>
      </c>
      <c r="M342" s="53"/>
    </row>
    <row r="343" customFormat="false" ht="15" hidden="false" customHeight="false" outlineLevel="0" collapsed="false">
      <c r="A343" s="47" t="str">
        <f aca="false">IF(B343="","",A342+1)</f>
        <v/>
      </c>
      <c r="B343" s="48"/>
      <c r="C343" s="49"/>
      <c r="D343" s="50"/>
      <c r="E343" s="49"/>
      <c r="F343" s="49"/>
      <c r="G343" s="48"/>
      <c r="H343" s="48"/>
      <c r="I343" s="48"/>
      <c r="J343" s="48"/>
      <c r="K343" s="51"/>
      <c r="L343" s="52" t="n">
        <f aca="false">IFERROR(J343*K343,"")</f>
        <v>0</v>
      </c>
      <c r="M343" s="53"/>
    </row>
    <row r="344" customFormat="false" ht="15" hidden="false" customHeight="false" outlineLevel="0" collapsed="false">
      <c r="A344" s="47" t="str">
        <f aca="false">IF(B344="","",A343+1)</f>
        <v/>
      </c>
      <c r="B344" s="48"/>
      <c r="C344" s="49"/>
      <c r="D344" s="50"/>
      <c r="E344" s="49"/>
      <c r="F344" s="49"/>
      <c r="G344" s="48"/>
      <c r="H344" s="48"/>
      <c r="I344" s="48"/>
      <c r="J344" s="48"/>
      <c r="K344" s="51"/>
      <c r="L344" s="52" t="n">
        <f aca="false">IFERROR(J344*K344,"")</f>
        <v>0</v>
      </c>
      <c r="M344" s="53"/>
    </row>
    <row r="345" customFormat="false" ht="15" hidden="false" customHeight="false" outlineLevel="0" collapsed="false">
      <c r="A345" s="47" t="str">
        <f aca="false">IF(B345="","",A344+1)</f>
        <v/>
      </c>
      <c r="B345" s="48"/>
      <c r="C345" s="49"/>
      <c r="D345" s="50"/>
      <c r="E345" s="49"/>
      <c r="F345" s="49"/>
      <c r="G345" s="48"/>
      <c r="H345" s="48"/>
      <c r="I345" s="48"/>
      <c r="J345" s="48"/>
      <c r="K345" s="51"/>
      <c r="L345" s="52" t="n">
        <f aca="false">IFERROR(J345*K345,"")</f>
        <v>0</v>
      </c>
      <c r="M345" s="53"/>
    </row>
    <row r="346" customFormat="false" ht="15" hidden="false" customHeight="false" outlineLevel="0" collapsed="false">
      <c r="A346" s="47" t="str">
        <f aca="false">IF(B346="","",A345+1)</f>
        <v/>
      </c>
      <c r="B346" s="48"/>
      <c r="C346" s="49"/>
      <c r="D346" s="50"/>
      <c r="E346" s="49"/>
      <c r="F346" s="49"/>
      <c r="G346" s="48"/>
      <c r="H346" s="48"/>
      <c r="I346" s="48"/>
      <c r="J346" s="48"/>
      <c r="K346" s="51"/>
      <c r="L346" s="52" t="n">
        <f aca="false">IFERROR(J346*K346,"")</f>
        <v>0</v>
      </c>
      <c r="M346" s="53"/>
    </row>
    <row r="347" customFormat="false" ht="15" hidden="false" customHeight="false" outlineLevel="0" collapsed="false">
      <c r="A347" s="47" t="str">
        <f aca="false">IF(B347="","",A346+1)</f>
        <v/>
      </c>
      <c r="B347" s="48"/>
      <c r="C347" s="49"/>
      <c r="D347" s="50"/>
      <c r="E347" s="49"/>
      <c r="F347" s="49"/>
      <c r="G347" s="48"/>
      <c r="H347" s="48"/>
      <c r="I347" s="48"/>
      <c r="J347" s="48"/>
      <c r="K347" s="51"/>
      <c r="L347" s="52" t="n">
        <f aca="false">IFERROR(J347*K347,"")</f>
        <v>0</v>
      </c>
      <c r="M347" s="53"/>
    </row>
    <row r="348" customFormat="false" ht="15" hidden="false" customHeight="false" outlineLevel="0" collapsed="false">
      <c r="A348" s="47" t="str">
        <f aca="false">IF(B348="","",A347+1)</f>
        <v/>
      </c>
      <c r="B348" s="48"/>
      <c r="C348" s="49"/>
      <c r="D348" s="50"/>
      <c r="E348" s="49"/>
      <c r="F348" s="49"/>
      <c r="G348" s="48"/>
      <c r="H348" s="48"/>
      <c r="I348" s="48"/>
      <c r="J348" s="48"/>
      <c r="K348" s="51"/>
      <c r="L348" s="52" t="n">
        <f aca="false">IFERROR(J348*K348,"")</f>
        <v>0</v>
      </c>
      <c r="M348" s="53"/>
    </row>
    <row r="349" customFormat="false" ht="15" hidden="false" customHeight="false" outlineLevel="0" collapsed="false">
      <c r="A349" s="47" t="str">
        <f aca="false">IF(B349="","",A348+1)</f>
        <v/>
      </c>
      <c r="B349" s="48"/>
      <c r="C349" s="49"/>
      <c r="D349" s="50"/>
      <c r="E349" s="49"/>
      <c r="F349" s="49"/>
      <c r="G349" s="48"/>
      <c r="H349" s="48"/>
      <c r="I349" s="48"/>
      <c r="J349" s="48"/>
      <c r="K349" s="51"/>
      <c r="L349" s="52" t="n">
        <f aca="false">IFERROR(J349*K349,"")</f>
        <v>0</v>
      </c>
      <c r="M349" s="53"/>
    </row>
    <row r="350" customFormat="false" ht="15" hidden="false" customHeight="false" outlineLevel="0" collapsed="false">
      <c r="A350" s="47" t="str">
        <f aca="false">IF(B350="","",A349+1)</f>
        <v/>
      </c>
      <c r="B350" s="48"/>
      <c r="C350" s="49"/>
      <c r="D350" s="50"/>
      <c r="E350" s="49"/>
      <c r="F350" s="49"/>
      <c r="G350" s="48"/>
      <c r="H350" s="48"/>
      <c r="I350" s="48"/>
      <c r="J350" s="48"/>
      <c r="K350" s="51"/>
      <c r="L350" s="52" t="n">
        <f aca="false">IFERROR(J350*K350,"")</f>
        <v>0</v>
      </c>
      <c r="M350" s="53"/>
    </row>
    <row r="351" customFormat="false" ht="15" hidden="false" customHeight="false" outlineLevel="0" collapsed="false">
      <c r="A351" s="47" t="str">
        <f aca="false">IF(B351="","",A350+1)</f>
        <v/>
      </c>
      <c r="B351" s="48"/>
      <c r="C351" s="49"/>
      <c r="D351" s="50"/>
      <c r="E351" s="49"/>
      <c r="F351" s="49"/>
      <c r="G351" s="48"/>
      <c r="H351" s="48"/>
      <c r="I351" s="48"/>
      <c r="J351" s="48"/>
      <c r="K351" s="51"/>
      <c r="L351" s="52" t="n">
        <f aca="false">IFERROR(J351*K351,"")</f>
        <v>0</v>
      </c>
      <c r="M351" s="53"/>
    </row>
    <row r="352" customFormat="false" ht="15" hidden="false" customHeight="false" outlineLevel="0" collapsed="false">
      <c r="A352" s="47" t="str">
        <f aca="false">IF(B352="","",A351+1)</f>
        <v/>
      </c>
      <c r="B352" s="48"/>
      <c r="C352" s="49"/>
      <c r="D352" s="50"/>
      <c r="E352" s="49"/>
      <c r="F352" s="49"/>
      <c r="G352" s="48"/>
      <c r="H352" s="48"/>
      <c r="I352" s="48"/>
      <c r="J352" s="48"/>
      <c r="K352" s="51"/>
      <c r="L352" s="52" t="n">
        <f aca="false">IFERROR(J352*K352,"")</f>
        <v>0</v>
      </c>
      <c r="M352" s="53"/>
    </row>
    <row r="353" customFormat="false" ht="15" hidden="false" customHeight="false" outlineLevel="0" collapsed="false">
      <c r="A353" s="47" t="str">
        <f aca="false">IF(B353="","",A352+1)</f>
        <v/>
      </c>
      <c r="B353" s="48"/>
      <c r="C353" s="49"/>
      <c r="D353" s="50"/>
      <c r="E353" s="49"/>
      <c r="F353" s="49"/>
      <c r="G353" s="48"/>
      <c r="H353" s="48"/>
      <c r="I353" s="48"/>
      <c r="J353" s="48"/>
      <c r="K353" s="51"/>
      <c r="L353" s="52" t="n">
        <f aca="false">IFERROR(J353*K353,"")</f>
        <v>0</v>
      </c>
      <c r="M353" s="53"/>
    </row>
    <row r="354" customFormat="false" ht="15" hidden="false" customHeight="false" outlineLevel="0" collapsed="false">
      <c r="A354" s="47" t="str">
        <f aca="false">IF(B354="","",A353+1)</f>
        <v/>
      </c>
      <c r="B354" s="48"/>
      <c r="C354" s="49"/>
      <c r="D354" s="50"/>
      <c r="E354" s="49"/>
      <c r="F354" s="49"/>
      <c r="G354" s="48"/>
      <c r="H354" s="48"/>
      <c r="I354" s="48"/>
      <c r="J354" s="48"/>
      <c r="K354" s="51"/>
      <c r="L354" s="52" t="n">
        <f aca="false">IFERROR(J354*K354,"")</f>
        <v>0</v>
      </c>
      <c r="M354" s="53"/>
    </row>
    <row r="355" customFormat="false" ht="15" hidden="false" customHeight="false" outlineLevel="0" collapsed="false">
      <c r="A355" s="47" t="str">
        <f aca="false">IF(B355="","",A354+1)</f>
        <v/>
      </c>
      <c r="B355" s="48"/>
      <c r="C355" s="49"/>
      <c r="D355" s="50"/>
      <c r="E355" s="49"/>
      <c r="F355" s="49"/>
      <c r="G355" s="48"/>
      <c r="H355" s="48"/>
      <c r="I355" s="48"/>
      <c r="J355" s="48"/>
      <c r="K355" s="51"/>
      <c r="L355" s="52" t="n">
        <f aca="false">IFERROR(J355*K355,"")</f>
        <v>0</v>
      </c>
      <c r="M355" s="53"/>
    </row>
    <row r="356" customFormat="false" ht="15" hidden="false" customHeight="false" outlineLevel="0" collapsed="false">
      <c r="A356" s="47" t="str">
        <f aca="false">IF(B356="","",A355+1)</f>
        <v/>
      </c>
      <c r="B356" s="48"/>
      <c r="C356" s="49"/>
      <c r="D356" s="50"/>
      <c r="E356" s="49"/>
      <c r="F356" s="49"/>
      <c r="G356" s="48"/>
      <c r="H356" s="48"/>
      <c r="I356" s="48"/>
      <c r="J356" s="48"/>
      <c r="K356" s="51"/>
      <c r="L356" s="52" t="n">
        <f aca="false">IFERROR(J356*K356,"")</f>
        <v>0</v>
      </c>
      <c r="M356" s="53"/>
    </row>
    <row r="357" customFormat="false" ht="15" hidden="false" customHeight="false" outlineLevel="0" collapsed="false">
      <c r="A357" s="47" t="str">
        <f aca="false">IF(B357="","",A356+1)</f>
        <v/>
      </c>
      <c r="B357" s="48"/>
      <c r="C357" s="49"/>
      <c r="D357" s="50"/>
      <c r="E357" s="49"/>
      <c r="F357" s="49"/>
      <c r="G357" s="48"/>
      <c r="H357" s="48"/>
      <c r="I357" s="48"/>
      <c r="J357" s="48"/>
      <c r="K357" s="51"/>
      <c r="L357" s="52" t="n">
        <f aca="false">IFERROR(J357*K357,"")</f>
        <v>0</v>
      </c>
      <c r="M357" s="53"/>
    </row>
    <row r="358" customFormat="false" ht="15" hidden="false" customHeight="false" outlineLevel="0" collapsed="false">
      <c r="A358" s="47" t="str">
        <f aca="false">IF(B358="","",A357+1)</f>
        <v/>
      </c>
      <c r="B358" s="48"/>
      <c r="C358" s="49"/>
      <c r="D358" s="50"/>
      <c r="E358" s="49"/>
      <c r="F358" s="49"/>
      <c r="G358" s="48"/>
      <c r="H358" s="48"/>
      <c r="I358" s="48"/>
      <c r="J358" s="48"/>
      <c r="K358" s="51"/>
      <c r="L358" s="52" t="n">
        <f aca="false">IFERROR(J358*K358,"")</f>
        <v>0</v>
      </c>
      <c r="M358" s="53"/>
    </row>
    <row r="359" customFormat="false" ht="15" hidden="false" customHeight="false" outlineLevel="0" collapsed="false">
      <c r="A359" s="47" t="str">
        <f aca="false">IF(B359="","",A358+1)</f>
        <v/>
      </c>
      <c r="B359" s="48"/>
      <c r="C359" s="49"/>
      <c r="D359" s="50"/>
      <c r="E359" s="49"/>
      <c r="F359" s="49"/>
      <c r="G359" s="48"/>
      <c r="H359" s="48"/>
      <c r="I359" s="48"/>
      <c r="J359" s="48"/>
      <c r="K359" s="51"/>
      <c r="L359" s="52" t="n">
        <f aca="false">IFERROR(J359*K359,"")</f>
        <v>0</v>
      </c>
      <c r="M359" s="53"/>
    </row>
    <row r="360" customFormat="false" ht="15" hidden="false" customHeight="false" outlineLevel="0" collapsed="false">
      <c r="A360" s="47" t="str">
        <f aca="false">IF(B360="","",A359+1)</f>
        <v/>
      </c>
      <c r="B360" s="48"/>
      <c r="C360" s="49"/>
      <c r="D360" s="50"/>
      <c r="E360" s="49"/>
      <c r="F360" s="49"/>
      <c r="G360" s="48"/>
      <c r="H360" s="48"/>
      <c r="I360" s="48"/>
      <c r="J360" s="48"/>
      <c r="K360" s="51"/>
      <c r="L360" s="52" t="n">
        <f aca="false">IFERROR(J360*K360,"")</f>
        <v>0</v>
      </c>
      <c r="M360" s="53"/>
    </row>
    <row r="361" customFormat="false" ht="15" hidden="false" customHeight="false" outlineLevel="0" collapsed="false">
      <c r="A361" s="47" t="str">
        <f aca="false">IF(B361="","",A360+1)</f>
        <v/>
      </c>
      <c r="B361" s="48"/>
      <c r="C361" s="49"/>
      <c r="D361" s="50"/>
      <c r="E361" s="49"/>
      <c r="F361" s="49"/>
      <c r="G361" s="48"/>
      <c r="H361" s="48"/>
      <c r="I361" s="48"/>
      <c r="J361" s="48"/>
      <c r="K361" s="51"/>
      <c r="L361" s="52" t="n">
        <f aca="false">IFERROR(J361*K361,"")</f>
        <v>0</v>
      </c>
      <c r="M361" s="53"/>
    </row>
    <row r="362" customFormat="false" ht="15" hidden="false" customHeight="false" outlineLevel="0" collapsed="false">
      <c r="A362" s="47" t="str">
        <f aca="false">IF(B362="","",A361+1)</f>
        <v/>
      </c>
      <c r="B362" s="48"/>
      <c r="C362" s="49"/>
      <c r="D362" s="50"/>
      <c r="E362" s="49"/>
      <c r="F362" s="49"/>
      <c r="G362" s="48"/>
      <c r="H362" s="48"/>
      <c r="I362" s="48"/>
      <c r="J362" s="48"/>
      <c r="K362" s="51"/>
      <c r="L362" s="52" t="n">
        <f aca="false">IFERROR(J362*K362,"")</f>
        <v>0</v>
      </c>
      <c r="M362" s="53"/>
    </row>
    <row r="363" customFormat="false" ht="15" hidden="false" customHeight="false" outlineLevel="0" collapsed="false">
      <c r="A363" s="47" t="str">
        <f aca="false">IF(B363="","",A362+1)</f>
        <v/>
      </c>
      <c r="B363" s="48"/>
      <c r="C363" s="49"/>
      <c r="D363" s="50"/>
      <c r="E363" s="49"/>
      <c r="F363" s="49"/>
      <c r="G363" s="48"/>
      <c r="H363" s="48"/>
      <c r="I363" s="48"/>
      <c r="J363" s="48"/>
      <c r="K363" s="51"/>
      <c r="L363" s="52" t="n">
        <f aca="false">IFERROR(J363*K363,"")</f>
        <v>0</v>
      </c>
      <c r="M363" s="53"/>
    </row>
    <row r="364" customFormat="false" ht="15" hidden="false" customHeight="false" outlineLevel="0" collapsed="false">
      <c r="A364" s="47" t="str">
        <f aca="false">IF(B364="","",A363+1)</f>
        <v/>
      </c>
      <c r="B364" s="48"/>
      <c r="C364" s="49"/>
      <c r="D364" s="50"/>
      <c r="E364" s="49"/>
      <c r="F364" s="49"/>
      <c r="G364" s="48"/>
      <c r="H364" s="48"/>
      <c r="I364" s="48"/>
      <c r="J364" s="48"/>
      <c r="K364" s="51"/>
      <c r="L364" s="52" t="n">
        <f aca="false">IFERROR(J364*K364,"")</f>
        <v>0</v>
      </c>
      <c r="M364" s="53"/>
    </row>
    <row r="365" customFormat="false" ht="15" hidden="false" customHeight="false" outlineLevel="0" collapsed="false">
      <c r="A365" s="47" t="str">
        <f aca="false">IF(B365="","",A364+1)</f>
        <v/>
      </c>
      <c r="B365" s="48"/>
      <c r="C365" s="49"/>
      <c r="D365" s="50"/>
      <c r="E365" s="49"/>
      <c r="F365" s="49"/>
      <c r="G365" s="48"/>
      <c r="H365" s="48"/>
      <c r="I365" s="48"/>
      <c r="J365" s="48"/>
      <c r="K365" s="51"/>
      <c r="L365" s="52" t="n">
        <f aca="false">IFERROR(J365*K365,"")</f>
        <v>0</v>
      </c>
      <c r="M365" s="53"/>
    </row>
    <row r="366" customFormat="false" ht="15" hidden="false" customHeight="false" outlineLevel="0" collapsed="false">
      <c r="A366" s="47" t="str">
        <f aca="false">IF(B366="","",A365+1)</f>
        <v/>
      </c>
      <c r="B366" s="48"/>
      <c r="C366" s="49"/>
      <c r="D366" s="50"/>
      <c r="E366" s="49"/>
      <c r="F366" s="49"/>
      <c r="G366" s="48"/>
      <c r="H366" s="48"/>
      <c r="I366" s="48"/>
      <c r="J366" s="48"/>
      <c r="K366" s="51"/>
      <c r="L366" s="52" t="n">
        <f aca="false">IFERROR(J366*K366,"")</f>
        <v>0</v>
      </c>
      <c r="M366" s="53"/>
    </row>
    <row r="367" customFormat="false" ht="15" hidden="false" customHeight="false" outlineLevel="0" collapsed="false">
      <c r="A367" s="47" t="str">
        <f aca="false">IF(B367="","",A366+1)</f>
        <v/>
      </c>
      <c r="B367" s="48"/>
      <c r="C367" s="49"/>
      <c r="D367" s="50"/>
      <c r="E367" s="49"/>
      <c r="F367" s="49"/>
      <c r="G367" s="48"/>
      <c r="H367" s="48"/>
      <c r="I367" s="48"/>
      <c r="J367" s="48"/>
      <c r="K367" s="51"/>
      <c r="L367" s="52" t="n">
        <f aca="false">IFERROR(J367*K367,"")</f>
        <v>0</v>
      </c>
      <c r="M367" s="53"/>
    </row>
    <row r="368" customFormat="false" ht="15" hidden="false" customHeight="false" outlineLevel="0" collapsed="false">
      <c r="A368" s="47" t="str">
        <f aca="false">IF(B368="","",A367+1)</f>
        <v/>
      </c>
      <c r="B368" s="48"/>
      <c r="C368" s="49"/>
      <c r="D368" s="50"/>
      <c r="E368" s="49"/>
      <c r="F368" s="49"/>
      <c r="G368" s="48"/>
      <c r="H368" s="48"/>
      <c r="I368" s="48"/>
      <c r="J368" s="48"/>
      <c r="K368" s="51"/>
      <c r="L368" s="52" t="n">
        <f aca="false">IFERROR(J368*K368,"")</f>
        <v>0</v>
      </c>
      <c r="M368" s="53"/>
    </row>
    <row r="369" customFormat="false" ht="15" hidden="false" customHeight="false" outlineLevel="0" collapsed="false">
      <c r="A369" s="47" t="str">
        <f aca="false">IF(B369="","",A368+1)</f>
        <v/>
      </c>
      <c r="B369" s="48"/>
      <c r="C369" s="49"/>
      <c r="D369" s="50"/>
      <c r="E369" s="49"/>
      <c r="F369" s="49"/>
      <c r="G369" s="48"/>
      <c r="H369" s="48"/>
      <c r="I369" s="48"/>
      <c r="J369" s="48"/>
      <c r="K369" s="51"/>
      <c r="L369" s="52" t="n">
        <f aca="false">IFERROR(J369*K369,"")</f>
        <v>0</v>
      </c>
      <c r="M369" s="53"/>
    </row>
    <row r="370" customFormat="false" ht="15" hidden="false" customHeight="false" outlineLevel="0" collapsed="false">
      <c r="A370" s="47" t="str">
        <f aca="false">IF(B370="","",A369+1)</f>
        <v/>
      </c>
      <c r="B370" s="48"/>
      <c r="C370" s="49"/>
      <c r="D370" s="50"/>
      <c r="E370" s="49"/>
      <c r="F370" s="49"/>
      <c r="G370" s="48"/>
      <c r="H370" s="48"/>
      <c r="I370" s="48"/>
      <c r="J370" s="48"/>
      <c r="K370" s="51"/>
      <c r="L370" s="52" t="n">
        <f aca="false">IFERROR(J370*K370,"")</f>
        <v>0</v>
      </c>
      <c r="M370" s="53"/>
    </row>
    <row r="371" customFormat="false" ht="15" hidden="false" customHeight="false" outlineLevel="0" collapsed="false">
      <c r="A371" s="47" t="str">
        <f aca="false">IF(B371="","",A370+1)</f>
        <v/>
      </c>
      <c r="B371" s="48"/>
      <c r="C371" s="49"/>
      <c r="D371" s="50"/>
      <c r="E371" s="49"/>
      <c r="F371" s="49"/>
      <c r="G371" s="48"/>
      <c r="H371" s="48"/>
      <c r="I371" s="48"/>
      <c r="J371" s="48"/>
      <c r="K371" s="51"/>
      <c r="L371" s="52" t="n">
        <f aca="false">IFERROR(J371*K371,"")</f>
        <v>0</v>
      </c>
      <c r="M371" s="53"/>
    </row>
    <row r="372" customFormat="false" ht="15" hidden="false" customHeight="false" outlineLevel="0" collapsed="false">
      <c r="A372" s="47" t="str">
        <f aca="false">IF(B372="","",A371+1)</f>
        <v/>
      </c>
      <c r="B372" s="48"/>
      <c r="C372" s="49"/>
      <c r="D372" s="50"/>
      <c r="E372" s="49"/>
      <c r="F372" s="49"/>
      <c r="G372" s="48"/>
      <c r="H372" s="48"/>
      <c r="I372" s="48"/>
      <c r="J372" s="48"/>
      <c r="K372" s="51"/>
      <c r="L372" s="52" t="n">
        <f aca="false">IFERROR(J372*K372,"")</f>
        <v>0</v>
      </c>
      <c r="M372" s="53"/>
    </row>
    <row r="373" customFormat="false" ht="15" hidden="false" customHeight="false" outlineLevel="0" collapsed="false">
      <c r="A373" s="47" t="str">
        <f aca="false">IF(B373="","",A372+1)</f>
        <v/>
      </c>
      <c r="B373" s="48"/>
      <c r="C373" s="49"/>
      <c r="D373" s="50"/>
      <c r="E373" s="49"/>
      <c r="F373" s="49"/>
      <c r="G373" s="48"/>
      <c r="H373" s="48"/>
      <c r="I373" s="48"/>
      <c r="J373" s="48"/>
      <c r="K373" s="51"/>
      <c r="L373" s="52" t="n">
        <f aca="false">IFERROR(J373*K373,"")</f>
        <v>0</v>
      </c>
      <c r="M373" s="53"/>
    </row>
    <row r="374" customFormat="false" ht="15" hidden="false" customHeight="false" outlineLevel="0" collapsed="false">
      <c r="A374" s="47" t="str">
        <f aca="false">IF(B374="","",A373+1)</f>
        <v/>
      </c>
      <c r="B374" s="48"/>
      <c r="C374" s="49"/>
      <c r="D374" s="50"/>
      <c r="E374" s="49"/>
      <c r="F374" s="49"/>
      <c r="G374" s="48"/>
      <c r="H374" s="48"/>
      <c r="I374" s="48"/>
      <c r="J374" s="48"/>
      <c r="K374" s="51"/>
      <c r="L374" s="52" t="n">
        <f aca="false">IFERROR(J374*K374,"")</f>
        <v>0</v>
      </c>
      <c r="M374" s="53"/>
    </row>
    <row r="375" customFormat="false" ht="15" hidden="false" customHeight="false" outlineLevel="0" collapsed="false">
      <c r="A375" s="47" t="str">
        <f aca="false">IF(B375="","",A374+1)</f>
        <v/>
      </c>
      <c r="B375" s="48"/>
      <c r="C375" s="49"/>
      <c r="D375" s="50"/>
      <c r="E375" s="49"/>
      <c r="F375" s="49"/>
      <c r="G375" s="48"/>
      <c r="H375" s="48"/>
      <c r="I375" s="48"/>
      <c r="J375" s="48"/>
      <c r="K375" s="51"/>
      <c r="L375" s="52" t="n">
        <f aca="false">IFERROR(J375*K375,"")</f>
        <v>0</v>
      </c>
      <c r="M375" s="53"/>
    </row>
    <row r="376" customFormat="false" ht="15" hidden="false" customHeight="false" outlineLevel="0" collapsed="false">
      <c r="A376" s="47" t="str">
        <f aca="false">IF(B376="","",A375+1)</f>
        <v/>
      </c>
      <c r="B376" s="48"/>
      <c r="C376" s="49"/>
      <c r="D376" s="50"/>
      <c r="E376" s="49"/>
      <c r="F376" s="49"/>
      <c r="G376" s="48"/>
      <c r="H376" s="48"/>
      <c r="I376" s="48"/>
      <c r="J376" s="48"/>
      <c r="K376" s="51"/>
      <c r="L376" s="52" t="n">
        <f aca="false">IFERROR(J376*K376,"")</f>
        <v>0</v>
      </c>
      <c r="M376" s="53"/>
    </row>
    <row r="377" customFormat="false" ht="15" hidden="false" customHeight="false" outlineLevel="0" collapsed="false">
      <c r="A377" s="47" t="str">
        <f aca="false">IF(B377="","",A376+1)</f>
        <v/>
      </c>
      <c r="B377" s="48"/>
      <c r="C377" s="49"/>
      <c r="D377" s="50"/>
      <c r="E377" s="49"/>
      <c r="F377" s="49"/>
      <c r="G377" s="48"/>
      <c r="H377" s="48"/>
      <c r="I377" s="48"/>
      <c r="J377" s="48"/>
      <c r="K377" s="51"/>
      <c r="L377" s="52" t="n">
        <f aca="false">IFERROR(J377*K377,"")</f>
        <v>0</v>
      </c>
      <c r="M377" s="53"/>
    </row>
    <row r="378" customFormat="false" ht="15" hidden="false" customHeight="false" outlineLevel="0" collapsed="false">
      <c r="A378" s="47" t="str">
        <f aca="false">IF(B378="","",A377+1)</f>
        <v/>
      </c>
      <c r="B378" s="48"/>
      <c r="C378" s="49"/>
      <c r="D378" s="50"/>
      <c r="E378" s="49"/>
      <c r="F378" s="49"/>
      <c r="G378" s="48"/>
      <c r="H378" s="48"/>
      <c r="I378" s="48"/>
      <c r="J378" s="48"/>
      <c r="K378" s="51"/>
      <c r="L378" s="52" t="n">
        <f aca="false">IFERROR(J378*K378,"")</f>
        <v>0</v>
      </c>
      <c r="M378" s="53"/>
    </row>
    <row r="379" customFormat="false" ht="15" hidden="false" customHeight="false" outlineLevel="0" collapsed="false">
      <c r="A379" s="47" t="str">
        <f aca="false">IF(B379="","",A378+1)</f>
        <v/>
      </c>
      <c r="B379" s="48"/>
      <c r="C379" s="49"/>
      <c r="D379" s="50"/>
      <c r="E379" s="49"/>
      <c r="F379" s="49"/>
      <c r="G379" s="48"/>
      <c r="H379" s="48"/>
      <c r="I379" s="48"/>
      <c r="J379" s="48"/>
      <c r="K379" s="51"/>
      <c r="L379" s="52" t="n">
        <f aca="false">IFERROR(J379*K379,"")</f>
        <v>0</v>
      </c>
      <c r="M379" s="53"/>
    </row>
    <row r="380" customFormat="false" ht="15" hidden="false" customHeight="false" outlineLevel="0" collapsed="false">
      <c r="A380" s="47" t="str">
        <f aca="false">IF(B380="","",A379+1)</f>
        <v/>
      </c>
      <c r="B380" s="48"/>
      <c r="C380" s="49"/>
      <c r="D380" s="50"/>
      <c r="E380" s="49"/>
      <c r="F380" s="49"/>
      <c r="G380" s="48"/>
      <c r="H380" s="48"/>
      <c r="I380" s="48"/>
      <c r="J380" s="48"/>
      <c r="K380" s="51"/>
      <c r="L380" s="52" t="n">
        <f aca="false">IFERROR(J380*K380,"")</f>
        <v>0</v>
      </c>
      <c r="M380" s="53"/>
    </row>
    <row r="381" customFormat="false" ht="15" hidden="false" customHeight="false" outlineLevel="0" collapsed="false">
      <c r="A381" s="47" t="str">
        <f aca="false">IF(B381="","",A380+1)</f>
        <v/>
      </c>
      <c r="B381" s="48"/>
      <c r="C381" s="49"/>
      <c r="D381" s="50"/>
      <c r="E381" s="49"/>
      <c r="F381" s="49"/>
      <c r="G381" s="48"/>
      <c r="H381" s="48"/>
      <c r="I381" s="48"/>
      <c r="J381" s="48"/>
      <c r="K381" s="51"/>
      <c r="L381" s="52" t="n">
        <f aca="false">IFERROR(J381*K381,"")</f>
        <v>0</v>
      </c>
      <c r="M381" s="53"/>
    </row>
    <row r="382" customFormat="false" ht="15" hidden="false" customHeight="false" outlineLevel="0" collapsed="false">
      <c r="A382" s="47" t="str">
        <f aca="false">IF(B382="","",A381+1)</f>
        <v/>
      </c>
      <c r="B382" s="48"/>
      <c r="C382" s="49"/>
      <c r="D382" s="50"/>
      <c r="E382" s="49"/>
      <c r="F382" s="49"/>
      <c r="G382" s="48"/>
      <c r="H382" s="48"/>
      <c r="I382" s="48"/>
      <c r="J382" s="48"/>
      <c r="K382" s="51"/>
      <c r="L382" s="52" t="n">
        <f aca="false">IFERROR(J382*K382,"")</f>
        <v>0</v>
      </c>
      <c r="M382" s="53"/>
    </row>
    <row r="383" customFormat="false" ht="15" hidden="false" customHeight="false" outlineLevel="0" collapsed="false">
      <c r="A383" s="47" t="str">
        <f aca="false">IF(B383="","",A382+1)</f>
        <v/>
      </c>
      <c r="B383" s="48"/>
      <c r="C383" s="49"/>
      <c r="D383" s="50"/>
      <c r="E383" s="49"/>
      <c r="F383" s="49"/>
      <c r="G383" s="48"/>
      <c r="H383" s="48"/>
      <c r="I383" s="48"/>
      <c r="J383" s="48"/>
      <c r="K383" s="51"/>
      <c r="L383" s="52" t="n">
        <f aca="false">IFERROR(J383*K383,"")</f>
        <v>0</v>
      </c>
      <c r="M383" s="53"/>
    </row>
    <row r="384" customFormat="false" ht="15" hidden="false" customHeight="false" outlineLevel="0" collapsed="false">
      <c r="A384" s="47" t="str">
        <f aca="false">IF(B384="","",A383+1)</f>
        <v/>
      </c>
      <c r="B384" s="48"/>
      <c r="C384" s="49"/>
      <c r="D384" s="50"/>
      <c r="E384" s="49"/>
      <c r="F384" s="49"/>
      <c r="G384" s="48"/>
      <c r="H384" s="48"/>
      <c r="I384" s="48"/>
      <c r="J384" s="48"/>
      <c r="K384" s="51"/>
      <c r="L384" s="52" t="n">
        <f aca="false">IFERROR(J384*K384,"")</f>
        <v>0</v>
      </c>
      <c r="M384" s="53"/>
    </row>
    <row r="385" customFormat="false" ht="15" hidden="false" customHeight="false" outlineLevel="0" collapsed="false">
      <c r="A385" s="47" t="str">
        <f aca="false">IF(B385="","",A384+1)</f>
        <v/>
      </c>
      <c r="B385" s="48"/>
      <c r="C385" s="49"/>
      <c r="D385" s="50"/>
      <c r="E385" s="49"/>
      <c r="F385" s="49"/>
      <c r="G385" s="48"/>
      <c r="H385" s="48"/>
      <c r="I385" s="48"/>
      <c r="J385" s="48"/>
      <c r="K385" s="51"/>
      <c r="L385" s="52" t="n">
        <f aca="false">IFERROR(J385*K385,"")</f>
        <v>0</v>
      </c>
      <c r="M385" s="53"/>
    </row>
  </sheetData>
  <sheetProtection sheet="true" password="e491" objects="true" scenarios="true" selectLockedCells="true" autoFilter="false"/>
  <autoFilter ref="A20:M20">
    <filterColumn colId="0" hiddenButton="1"/>
  </autoFilter>
  <mergeCells count="314">
    <mergeCell ref="A7:B7"/>
    <mergeCell ref="C7:F7"/>
    <mergeCell ref="H7:L7"/>
    <mergeCell ref="A9:B9"/>
    <mergeCell ref="C9:F9"/>
    <mergeCell ref="H9:L9"/>
    <mergeCell ref="A11:M11"/>
    <mergeCell ref="A12:E12"/>
    <mergeCell ref="J12:M12"/>
    <mergeCell ref="A13:D13"/>
    <mergeCell ref="J13:K13"/>
    <mergeCell ref="A14:D14"/>
    <mergeCell ref="J14:K14"/>
    <mergeCell ref="A15:D15"/>
    <mergeCell ref="E15:F15"/>
    <mergeCell ref="J15:K15"/>
    <mergeCell ref="A16:D16"/>
    <mergeCell ref="E16:F16"/>
    <mergeCell ref="J16:K16"/>
    <mergeCell ref="A17:D17"/>
    <mergeCell ref="E17:F17"/>
    <mergeCell ref="J17:L17"/>
    <mergeCell ref="A18:M18"/>
    <mergeCell ref="E19:F19"/>
    <mergeCell ref="E20:F20"/>
    <mergeCell ref="E21:F21"/>
    <mergeCell ref="E22:F22"/>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s>
  <conditionalFormatting sqref="L13">
    <cfRule type="expression" priority="2" aboveAverage="0" equalAverage="0" bottom="0" percent="0" rank="0" text="" dxfId="2">
      <formula>$M$13&gt;15000</formula>
    </cfRule>
    <cfRule type="expression" priority="3" aboveAverage="0" equalAverage="0" bottom="0" percent="0" rank="0" text="" dxfId="2">
      <formula>$L$13&gt;0.05</formula>
    </cfRule>
  </conditionalFormatting>
  <conditionalFormatting sqref="L15">
    <cfRule type="expression" priority="4" aboveAverage="0" equalAverage="0" bottom="0" percent="0" rank="0" text="" dxfId="2">
      <formula>$L$15&gt;0.2</formula>
    </cfRule>
    <cfRule type="expression" priority="5" aboveAverage="0" equalAverage="0" bottom="0" percent="0" rank="0" text="" dxfId="2">
      <formula>$L$15&lt;0.05</formula>
    </cfRule>
  </conditionalFormatting>
  <conditionalFormatting sqref="F13">
    <cfRule type="expression" priority="6" aboveAverage="0" equalAverage="0" bottom="0" percent="0" rank="0" text="" dxfId="2">
      <formula>AND($F$13&gt;45000,F12="Pessoa Física")</formula>
    </cfRule>
  </conditionalFormatting>
  <conditionalFormatting sqref="M17">
    <cfRule type="expression" priority="7" aboveAverage="0" equalAverage="0" bottom="0" percent="0" rank="0" text="" dxfId="2">
      <formula>AND($M$17&gt;200000,F12="Pessoa Física")</formula>
    </cfRule>
  </conditionalFormatting>
  <conditionalFormatting sqref="E13">
    <cfRule type="expression" priority="8" aboveAverage="0" equalAverage="0" bottom="0" percent="0" rank="0" text="" dxfId="2">
      <formula>$E$13&gt;0.3</formula>
    </cfRule>
  </conditionalFormatting>
  <conditionalFormatting sqref="L14">
    <cfRule type="expression" priority="9" aboveAverage="0" equalAverage="0" bottom="0" percent="0" rank="0" text="" dxfId="2">
      <formula>$L$14&gt;0.15</formula>
    </cfRule>
  </conditionalFormatting>
  <dataValidations count="5">
    <dataValidation allowBlank="true" errorStyle="stop" operator="between" showDropDown="false" showErrorMessage="true" showInputMessage="true" sqref="H21:H1385" type="list">
      <formula1>"Elaboração,Despesas Administrativas,Divulgação,Outros"</formula1>
      <formula2>0</formula2>
    </dataValidation>
    <dataValidation allowBlank="true" errorStyle="stop" operator="between" showDropDown="false" showErrorMessage="true" showInputMessage="true" sqref="F12" type="list">
      <formula1>"Pessoa Física,Pessoa Jurídica"</formula1>
      <formula2>0</formula2>
    </dataValidation>
    <dataValidation allowBlank="true" errorStyle="stop" operator="between" showDropDown="false" showErrorMessage="true" showInputMessage="true" sqref="G21:G385" type="list">
      <formula1>"Proponente,Terceiros"</formula1>
      <formula2>0</formula2>
    </dataValidation>
    <dataValidation allowBlank="true" errorStyle="stop" operator="between" showDropDown="false" showErrorMessage="true" showInputMessage="true" sqref="B21:B385" type="list">
      <formula1>"Pré-Produção,Produção,Pós-Produção"</formula1>
      <formula2>0</formula2>
    </dataValidation>
    <dataValidation allowBlank="true" errorStyle="stop" operator="between" showDropDown="false" showErrorMessage="true" showInputMessage="true" sqref="M21:M385" type="list">
      <formula1>"FAC,Recursos provenientes de cobrança de ingressos,Recursos financeiros de outras fontes"</formula1>
      <formula2>0</formula2>
    </dataValidation>
  </dataValidations>
  <printOptions headings="false" gridLines="false" gridLinesSet="true" horizontalCentered="false" verticalCentered="false"/>
  <pageMargins left="0.236111111111111" right="0.236111111111111" top="0.747916666666667" bottom="0.551388888888889"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4</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2016-03-02T12:58:10Z</dcterms:created>
  <dc:creator>Eduardo Molina</dc:creator>
  <dc:description/>
  <dc:language>pt-BR</dc:language>
  <cp:lastModifiedBy/>
  <cp:lastPrinted>2021-04-23T19:09:08Z</cp:lastPrinted>
  <dcterms:modified xsi:type="dcterms:W3CDTF">2026-06-05T15:41:42Z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