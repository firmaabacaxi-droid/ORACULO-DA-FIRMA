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Orçamentária" sheetId="1" r:id="rId4"/>
  </sheets>
  <definedNames/>
  <calcPr/>
  <extLst>
    <ext uri="GoogleSheetsCustomDataVersion1">
      <go:sheetsCustomData xmlns:go="http://customooxmlschemas.google.com/" r:id="rId5" roundtripDataSignature="AMtx7miXT7cQD1SPtBQE1ilsvWMzL2//X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9">
      <text>
        <t xml:space="preserve">======
ID#AAAAQCPGmFw
Luiz Henrique Fernandes Souza    (2021-10-13 19:15:43)
Campo com fórmula Preenchimento automático</t>
      </text>
    </comment>
  </commentList>
  <extLst>
    <ext uri="GoogleSheetsCustomDataVersion1">
      <go:sheetsCustomData xmlns:go="http://customooxmlschemas.google.com/" r:id="rId1" roundtripDataSignature="AMtx7mith3bWA9qyrOlNaIshJTOdBVrjJQ=="/>
    </ext>
  </extLst>
</comments>
</file>

<file path=xl/sharedStrings.xml><?xml version="1.0" encoding="utf-8"?>
<sst xmlns="http://schemas.openxmlformats.org/spreadsheetml/2006/main" count="788" uniqueCount="230">
  <si>
    <t>GOVERNO DO DISTRITO FEDERAL</t>
  </si>
  <si>
    <t>Secretaria de Estado de Cultura e Economia Criativa</t>
  </si>
  <si>
    <t>Subsecretaria de Fomento e Incentivo Cultural</t>
  </si>
  <si>
    <t>Coordenação do Fundo de Apoio à Cultura</t>
  </si>
  <si>
    <t>Diretoria de Implementação de Modalidades de Fomento Cultural</t>
  </si>
  <si>
    <t>TÍTULO OU NOME DO PROJETO:</t>
  </si>
  <si>
    <t>Os 5 atos da escada</t>
  </si>
  <si>
    <t xml:space="preserve">Planilha Orçamentária </t>
  </si>
  <si>
    <t>PROPONENTE:</t>
  </si>
  <si>
    <t xml:space="preserve">Pororoca Produção de Filmes Ltda </t>
  </si>
  <si>
    <t>Edital FAC Brasília Multicultural II</t>
  </si>
  <si>
    <t>RESUMO FINANCEIRO DO PROJETO</t>
  </si>
  <si>
    <t>SELECIONE AO LADO A CATEGORIA DO PROPONENTE DE ACORDO COM SUA NATUREZA JURÍDICA &gt;&gt;&gt;</t>
  </si>
  <si>
    <t>Pessoa Jurídica</t>
  </si>
  <si>
    <r>
      <rPr>
        <rFont val="Calibri"/>
        <b/>
        <color theme="0"/>
        <sz val="10.0"/>
      </rPr>
      <t xml:space="preserve">ATENÇÃO - </t>
    </r>
    <r>
      <rPr>
        <rFont val="Calibri"/>
        <b val="0"/>
        <color theme="0"/>
        <sz val="10.0"/>
      </rPr>
      <t xml:space="preserve">Limites:         </t>
    </r>
    <r>
      <rPr>
        <rFont val="Calibri"/>
        <b/>
        <color theme="0"/>
        <sz val="10.0"/>
      </rPr>
      <t xml:space="preserve">                          </t>
    </r>
  </si>
  <si>
    <t>TIPO DE DESPESA</t>
  </si>
  <si>
    <t>Provimento para Proponente</t>
  </si>
  <si>
    <r>
      <rPr>
        <rFont val="Calibri"/>
        <b/>
        <color theme="0"/>
        <sz val="10.0"/>
        <u/>
      </rPr>
      <t>Gastos com divulgação do projeto</t>
    </r>
    <r>
      <rPr>
        <rFont val="Calibri"/>
        <b/>
        <color theme="0"/>
        <sz val="10.0"/>
      </rPr>
      <t xml:space="preserve"> -5% (mínimo) e 20% (máximo) - </t>
    </r>
    <r>
      <rPr>
        <rFont val="Calibri"/>
        <b val="0"/>
        <color theme="0"/>
        <sz val="10.0"/>
      </rPr>
      <t>Ver item 5.7 do Edital</t>
    </r>
  </si>
  <si>
    <t>Elaboração</t>
  </si>
  <si>
    <t>Provimento para Terceiros</t>
  </si>
  <si>
    <r>
      <rPr>
        <rFont val="Calibri"/>
        <b/>
        <color theme="0"/>
        <sz val="10.0"/>
        <u/>
      </rPr>
      <t xml:space="preserve">Limite de gastos com despesas administrativas </t>
    </r>
    <r>
      <rPr>
        <rFont val="Calibri"/>
        <b/>
        <color theme="0"/>
        <sz val="10.0"/>
        <u/>
      </rPr>
      <t xml:space="preserve"> - 15% (máximo) - </t>
    </r>
    <r>
      <rPr>
        <rFont val="Calibri"/>
        <b val="0"/>
        <color theme="0"/>
        <sz val="10.0"/>
        <u/>
      </rPr>
      <t>Ver item 5.9 do Edital</t>
    </r>
  </si>
  <si>
    <t>Despesas Administrativas</t>
  </si>
  <si>
    <t>Valor Total Solicitado ao FAC</t>
  </si>
  <si>
    <r>
      <rPr>
        <rFont val="Calibri"/>
        <b/>
        <color theme="0"/>
        <sz val="10.0"/>
        <u/>
      </rPr>
      <t>Gastos com elaboração do projeto</t>
    </r>
    <r>
      <rPr>
        <rFont val="Calibri"/>
        <b/>
        <color theme="0"/>
        <sz val="10.0"/>
      </rPr>
      <t xml:space="preserve"> </t>
    </r>
    <r>
      <rPr>
        <rFont val="Calibri"/>
        <b val="0"/>
        <color theme="0"/>
        <sz val="10.0"/>
      </rPr>
      <t>-</t>
    </r>
    <r>
      <rPr>
        <rFont val="Calibri"/>
        <b/>
        <color theme="0"/>
        <sz val="10.0"/>
      </rPr>
      <t xml:space="preserve"> 5% (máximo)</t>
    </r>
    <r>
      <rPr>
        <rFont val="Calibri"/>
        <b val="0"/>
        <color theme="0"/>
        <sz val="10.0"/>
      </rPr>
      <t xml:space="preserve"> -respeitando o limite de R$15.000,00 - Ver item 5.10 do Edital</t>
    </r>
  </si>
  <si>
    <t>Divulgação</t>
  </si>
  <si>
    <t>Recursos provenientes de cobrança de ingressos</t>
  </si>
  <si>
    <r>
      <rPr>
        <rFont val="Calibri"/>
        <b/>
        <color theme="0"/>
        <sz val="10.0"/>
        <u/>
      </rPr>
      <t>Recursos destinados ao proponente</t>
    </r>
    <r>
      <rPr>
        <rFont val="Calibri"/>
        <b/>
        <color theme="0"/>
        <sz val="10.0"/>
      </rPr>
      <t xml:space="preserve"> - Pessoa Jurídica - 30% - Ver item 5.8 do Edital</t>
    </r>
  </si>
  <si>
    <t>Outros</t>
  </si>
  <si>
    <t>Recursos financeiros de outras fontes</t>
  </si>
  <si>
    <t>VALOR TOTAL SOLICITADO AO FAC</t>
  </si>
  <si>
    <t>PLANILHA ORÇAMENTÁRIA</t>
  </si>
  <si>
    <r>
      <rPr>
        <rFont val="Calibri"/>
        <b/>
        <color rgb="FF000000"/>
        <sz val="11.0"/>
      </rPr>
      <t>N</t>
    </r>
    <r>
      <rPr>
        <rFont val="Calibri"/>
        <b/>
        <color rgb="FF000000"/>
        <sz val="11.0"/>
        <vertAlign val="superscript"/>
      </rPr>
      <t>o</t>
    </r>
  </si>
  <si>
    <r>
      <rPr>
        <rFont val="Calibri"/>
        <color rgb="FF000000"/>
        <sz val="11.0"/>
      </rPr>
      <t xml:space="preserve">Informe em qual etapa do projeto o item será utilizado </t>
    </r>
    <r>
      <rPr>
        <rFont val="Calibri"/>
        <b/>
        <color rgb="FF000000"/>
        <sz val="11.0"/>
      </rPr>
      <t>de acordo com as opções disponíveis</t>
    </r>
    <r>
      <rPr>
        <rFont val="Calibri"/>
        <color rgb="FF000000"/>
        <sz val="11.0"/>
      </rPr>
      <t>.</t>
    </r>
  </si>
  <si>
    <t xml:space="preserve">Descreva a atividade, serviço ou mão-de-obra.  (Ex.: Produtor Executivo; Designer gráfico; etc.). </t>
  </si>
  <si>
    <t>Justifique detalhadamente a necessidade do item para o projeto. (Ex.: produtor de objetos - confecciona e/ou pesquisa adereços a pedido da direção de arte; Designer gráfico - elabora o material de divulgação do projeto; etc.). Também devem ser apresentadas justificativas, caso o projeto apresente contratação de funções distintas com as mesmas atribuições.</t>
  </si>
  <si>
    <t>Informe o parâmetro utilizado para se chegar ao valor solicitado.  (Ex.: orçamento, preço médio de contratos anteriormente realizados, tabela da FGV/MinC, tabela sindical, etc.)</t>
  </si>
  <si>
    <t>Quem será pago? Veja opções.</t>
  </si>
  <si>
    <t>Indique a natureza do gasto de acordo com o tipo de despesa. Veja as opções e verifique também as restrições de gastos.</t>
  </si>
  <si>
    <t>Ex.: pessoas, horas, meses, Kg, serviço, metros, etc.</t>
  </si>
  <si>
    <t>Quantas vezes a unidade se repete?</t>
  </si>
  <si>
    <t>Quanto custa uma unidade do item?</t>
  </si>
  <si>
    <r>
      <rPr>
        <rFont val="Calibri"/>
        <color rgb="FF000000"/>
        <sz val="11.0"/>
      </rPr>
      <t xml:space="preserve">Custo total do item 
</t>
    </r>
    <r>
      <rPr>
        <rFont val="Calibri"/>
        <i/>
        <color rgb="FFFF0000"/>
        <sz val="11.0"/>
      </rPr>
      <t>(Campo com fórmula preenchimento automático)</t>
    </r>
  </si>
  <si>
    <r>
      <rPr>
        <rFont val="Calibri"/>
        <color rgb="FF000000"/>
        <sz val="11.0"/>
      </rPr>
      <t>A opção "</t>
    </r>
    <r>
      <rPr>
        <rFont val="Calibri"/>
        <b/>
        <color rgb="FF000000"/>
        <sz val="11.0"/>
      </rPr>
      <t>Recursos provenientes de cobrança de ingressos</t>
    </r>
    <r>
      <rPr>
        <rFont val="Calibri"/>
        <color rgb="FF000000"/>
        <sz val="11.0"/>
      </rPr>
      <t>" deve ser utilizada nos casos em que houver cobrança de ingressos no âmbito da execução do projeto, devendo ser apresentado nesta planilha orçamentária à previsão de quais itens serão custeados com esse recurso. Os itens identificados na planilha orçamentária como custeados com “</t>
    </r>
    <r>
      <rPr>
        <rFont val="Calibri"/>
        <b/>
        <color rgb="FF000000"/>
        <sz val="11.0"/>
      </rPr>
      <t>Recursos provenientes de cobrança de ingressos</t>
    </r>
    <r>
      <rPr>
        <rFont val="Calibri"/>
        <color rgb="FF000000"/>
        <sz val="11.0"/>
      </rPr>
      <t>” não serão considerados para a soma que defini o “Valor total solicitado ao FAC”. A opção “</t>
    </r>
    <r>
      <rPr>
        <rFont val="Calibri"/>
        <b/>
        <color rgb="FF000000"/>
        <sz val="11.0"/>
      </rPr>
      <t>Recursos financeiros de outras fontes</t>
    </r>
    <r>
      <rPr>
        <rFont val="Calibri"/>
        <color rgb="FF000000"/>
        <sz val="11.0"/>
      </rPr>
      <t xml:space="preserve">” deve ser utilizada caso o proponente queira detalhar os itens do projeto que serão custeados com recursos não provenientes do FAC. Os itens identificados na planilha orçamentária como custeados com </t>
    </r>
    <r>
      <rPr>
        <rFont val="Calibri"/>
        <b/>
        <color rgb="FF000000"/>
        <sz val="11.0"/>
      </rPr>
      <t>“Recursos financeiros de outras fontes”</t>
    </r>
    <r>
      <rPr>
        <rFont val="Calibri"/>
        <color rgb="FF000000"/>
        <sz val="11.0"/>
      </rPr>
      <t xml:space="preserve"> não serão considerados para a soma que defini o “Valor total solicitado ao FAC” e também não serão considerados para fins de Prestação de Contas.</t>
    </r>
  </si>
  <si>
    <t>Etapa do Projeto</t>
  </si>
  <si>
    <t>Descrição</t>
  </si>
  <si>
    <t>Justificativa para o item solicitado</t>
  </si>
  <si>
    <t>Justificativa para o valor solicitado</t>
  </si>
  <si>
    <t>Provimento</t>
  </si>
  <si>
    <t>Tipo de Despesa</t>
  </si>
  <si>
    <t>Unidade de Medida</t>
  </si>
  <si>
    <t>Quantidade</t>
  </si>
  <si>
    <t>Valor Unitário</t>
  </si>
  <si>
    <t>Valor Total</t>
  </si>
  <si>
    <t>Origem do Recursos que irão custear o projeto</t>
  </si>
  <si>
    <t>Pré-Produção</t>
  </si>
  <si>
    <t>Elaboração do projeto</t>
  </si>
  <si>
    <t>Escrever e desenvolver o projeto e prosposta estética</t>
  </si>
  <si>
    <t>valor maximo permitido pelo edital</t>
  </si>
  <si>
    <t>Terceiros</t>
  </si>
  <si>
    <t>Serviço</t>
  </si>
  <si>
    <t>FAC</t>
  </si>
  <si>
    <t>Roteiro</t>
  </si>
  <si>
    <t>desenvolvimento do roteiro</t>
  </si>
  <si>
    <t>tabela sindicine</t>
  </si>
  <si>
    <t>Doctor Script</t>
  </si>
  <si>
    <t>Revisão do roteiro</t>
  </si>
  <si>
    <t>preço médio de contratos anteriormente realizados,</t>
  </si>
  <si>
    <t xml:space="preserve">Coordenação </t>
  </si>
  <si>
    <t xml:space="preserve">Coordenação de produção </t>
  </si>
  <si>
    <t>Proponente</t>
  </si>
  <si>
    <t>mês</t>
  </si>
  <si>
    <t>produtor executivo</t>
  </si>
  <si>
    <t>Gestão e adminitração do projeto em cada uma das etapas</t>
  </si>
  <si>
    <t>ASSISTENTE DE PRODUTOR EXECUTIVO</t>
  </si>
  <si>
    <t>Gestão do projeto</t>
  </si>
  <si>
    <t>Diretor 1</t>
  </si>
  <si>
    <t>Diretor 1 do filme</t>
  </si>
  <si>
    <t>Diretor 2</t>
  </si>
  <si>
    <t>Diretor 2 do filme</t>
  </si>
  <si>
    <t>Coordenador de produção</t>
  </si>
  <si>
    <t>Chefe de produção para o projeto</t>
  </si>
  <si>
    <t>Assistente de direção 1</t>
  </si>
  <si>
    <t>faz a coordenação do set e planos de filmagem</t>
  </si>
  <si>
    <t>Assistente de direção 2</t>
  </si>
  <si>
    <t xml:space="preserve">prepara a ordem do dia </t>
  </si>
  <si>
    <t>Produção</t>
  </si>
  <si>
    <t>Continuista</t>
  </si>
  <si>
    <t>cuida da continuidade da filmagem</t>
  </si>
  <si>
    <t>semana</t>
  </si>
  <si>
    <t>Produtor de set</t>
  </si>
  <si>
    <t>produtor que cuida do set</t>
  </si>
  <si>
    <t>produtor de locação</t>
  </si>
  <si>
    <t>faz a pesquisa de locações</t>
  </si>
  <si>
    <t>assistente de produção 1</t>
  </si>
  <si>
    <t>ajuda na produção</t>
  </si>
  <si>
    <t>assistente de produção 2</t>
  </si>
  <si>
    <t>Diretor de arte</t>
  </si>
  <si>
    <t>faz a direção de arte, concepção de figurinos e cenários</t>
  </si>
  <si>
    <t>Assistente de arte 1</t>
  </si>
  <si>
    <t>ajuda na elaboração da arte</t>
  </si>
  <si>
    <t>Assistente de arte 2</t>
  </si>
  <si>
    <t>figurinista</t>
  </si>
  <si>
    <t>produz e elabora os figurinos</t>
  </si>
  <si>
    <t>cenógrafo</t>
  </si>
  <si>
    <t>elabora a cenografia e cenários</t>
  </si>
  <si>
    <t>assistente de cenografia</t>
  </si>
  <si>
    <t>ajuda na elaboração de cenografia</t>
  </si>
  <si>
    <t>maquiador 1</t>
  </si>
  <si>
    <t>faz a maqueagem dos atores</t>
  </si>
  <si>
    <t>maquiador 2</t>
  </si>
  <si>
    <t>Material para cenografia</t>
  </si>
  <si>
    <t>Materia prima para confecção de cenografia (tinta, madeira, ferramentas, objetos)</t>
  </si>
  <si>
    <t>projeto</t>
  </si>
  <si>
    <t>Material para figurino</t>
  </si>
  <si>
    <t xml:space="preserve">Material para confecção de figurinos, aluguel de roupas, acesserórios, etc. </t>
  </si>
  <si>
    <t xml:space="preserve">Aluguel de locações </t>
  </si>
  <si>
    <t>aluguel de set de filmagem - estudios e locações</t>
  </si>
  <si>
    <t>Diretor de fotografia</t>
  </si>
  <si>
    <t>Faz a direção de fotografia e operação de câmera</t>
  </si>
  <si>
    <t>1 assistente de camera</t>
  </si>
  <si>
    <t>faz o foco e montagem da câmera</t>
  </si>
  <si>
    <t>2 assistente de camera</t>
  </si>
  <si>
    <t>montagem de lentes</t>
  </si>
  <si>
    <t>3 assistente de camêra</t>
  </si>
  <si>
    <t>Faz monitoração e videoassist</t>
  </si>
  <si>
    <t>logger (DIT)</t>
  </si>
  <si>
    <t>loga e organiza os arquivos filmados</t>
  </si>
  <si>
    <t>Gaffer</t>
  </si>
  <si>
    <t>Coordena a montagem de luzes e movimentos</t>
  </si>
  <si>
    <t>Eletricista Chefe</t>
  </si>
  <si>
    <t>realiza a montagem de luz</t>
  </si>
  <si>
    <t>Assistente de Eletricista</t>
  </si>
  <si>
    <t>Maquinista Chefe</t>
  </si>
  <si>
    <t xml:space="preserve">Realiza a montagem de equipamentos de movimento - grua e travelling </t>
  </si>
  <si>
    <t>Assistente de Maquinista</t>
  </si>
  <si>
    <t>Locação de câmera de cinema completa com lentes</t>
  </si>
  <si>
    <t xml:space="preserve">Equipamento completo de Câmera com lentes, videoassist, comando de foco , tripés, cartão de memória e computador para logagem - para produção e para pré light </t>
  </si>
  <si>
    <t>Locação de equipamentos de iluminação</t>
  </si>
  <si>
    <t xml:space="preserve">Set de equipamento de iluminação e movimento incluindo luzes led, HMI, grua, travelling - para produção e para pré light </t>
  </si>
  <si>
    <t>Caminhão de luz</t>
  </si>
  <si>
    <t xml:space="preserve">transporte de equipamentos de luz - para produção e para pré light </t>
  </si>
  <si>
    <t>Caminhão de câmera</t>
  </si>
  <si>
    <t xml:space="preserve">transporte de equipamentos de câmera - para produção e para pré light </t>
  </si>
  <si>
    <t>TÉCNICO DE SOM DIRETO</t>
  </si>
  <si>
    <t>Faz a operação e gravação de som</t>
  </si>
  <si>
    <t>Microfonista 1</t>
  </si>
  <si>
    <t>faz a operação de microfones</t>
  </si>
  <si>
    <t>microfonista 2</t>
  </si>
  <si>
    <t>Aluguel de equipamento de som completo, gravador, microfones e monitoração</t>
  </si>
  <si>
    <t>aluguel dos equipamentos de audio, gravador de som, microfones, boom</t>
  </si>
  <si>
    <t>Van para transporte da equipe</t>
  </si>
  <si>
    <t xml:space="preserve">serviço de transporte da equipe incluindo motorista - visitas técnicas, pré ligth, produção </t>
  </si>
  <si>
    <t>Van para transporte da elenco</t>
  </si>
  <si>
    <t>serviço de transporte da equipe incluindo motorista</t>
  </si>
  <si>
    <t>Van para transporte de material de arte</t>
  </si>
  <si>
    <t>serviço de transporte  incluindo motorista</t>
  </si>
  <si>
    <t>Gasolina</t>
  </si>
  <si>
    <t>Gasolina para transporte da equipe e equipamentos</t>
  </si>
  <si>
    <t>por litro</t>
  </si>
  <si>
    <t>Alimentação da equipe</t>
  </si>
  <si>
    <t>catering para a equipe durante as filmagens - por dia para 30 pessoas</t>
  </si>
  <si>
    <t>diairia</t>
  </si>
  <si>
    <t>Hospedagem da equipe fora de Brasília</t>
  </si>
  <si>
    <t>hopedagem para a equipe nas diárias fora de Brasiília - por dia para 30 pessoas</t>
  </si>
  <si>
    <t>Testes de Covid</t>
  </si>
  <si>
    <t>testes de covid para a equipe</t>
  </si>
  <si>
    <t>por teste</t>
  </si>
  <si>
    <t>Seguro para a produção</t>
  </si>
  <si>
    <t>seguro para o set , equipe e equipamentos</t>
  </si>
  <si>
    <t>seriço</t>
  </si>
  <si>
    <t>Pós-Produção</t>
  </si>
  <si>
    <t>Editor</t>
  </si>
  <si>
    <t>editor para o filme</t>
  </si>
  <si>
    <t>Aluguel de Ilha de edição</t>
  </si>
  <si>
    <t>aluguel de equipamento e sala de edição</t>
  </si>
  <si>
    <t>Trilha sonora original</t>
  </si>
  <si>
    <t>produção da música do filme</t>
  </si>
  <si>
    <t>serviço</t>
  </si>
  <si>
    <t>Edição de som</t>
  </si>
  <si>
    <t>serviço de mixagem e masterizção do filme</t>
  </si>
  <si>
    <t>Colorização</t>
  </si>
  <si>
    <t>finalização de cor do filme</t>
  </si>
  <si>
    <t>Designer Gráfico</t>
  </si>
  <si>
    <t xml:space="preserve">Elaboração da marca do filme, cartazes e material de divulgação </t>
  </si>
  <si>
    <t>Assessor de imprensa</t>
  </si>
  <si>
    <t>divulgação do filme junto com a imprensa</t>
  </si>
  <si>
    <t>assessor de midias sociais</t>
  </si>
  <si>
    <t>gestão das redes sociais do filme</t>
  </si>
  <si>
    <t>mes</t>
  </si>
  <si>
    <t>Fotógrafo still</t>
  </si>
  <si>
    <t>fotografio para a divulgação do filme</t>
  </si>
  <si>
    <t>Making off</t>
  </si>
  <si>
    <t>filmagem e edição do making off do filme - processo de divulgação</t>
  </si>
  <si>
    <t>Impulsionamento</t>
  </si>
  <si>
    <t>impulsionamento de postagens de divulgação do filme</t>
  </si>
  <si>
    <t>preço médio de contratos anteriormente realizados</t>
  </si>
  <si>
    <t>ação</t>
  </si>
  <si>
    <t>Site</t>
  </si>
  <si>
    <t>Criaçao de web site para divulgação do projeto</t>
  </si>
  <si>
    <t>site</t>
  </si>
  <si>
    <t>Inscrição em festivais internacionais</t>
  </si>
  <si>
    <t>Gastos com taxa de inscrição do filme em festivais internacionais</t>
  </si>
  <si>
    <t>inscrição</t>
  </si>
  <si>
    <t>Mídia impressa</t>
  </si>
  <si>
    <t>Compra de espaço em mídias impresas para divulgação do projeto</t>
  </si>
  <si>
    <t>impressão de cartazes</t>
  </si>
  <si>
    <t>cartazes A2 para a divulgação do filme</t>
  </si>
  <si>
    <t>por peça</t>
  </si>
  <si>
    <t>Cópia final - DCP</t>
  </si>
  <si>
    <t>Copia final para exibição do filme em cinemas</t>
  </si>
  <si>
    <t>unidade</t>
  </si>
  <si>
    <t>Preparador de elenco</t>
  </si>
  <si>
    <t>prepara o elenco para atuação</t>
  </si>
  <si>
    <t>Coordenador de Elenco</t>
  </si>
  <si>
    <t>Ator protagonista</t>
  </si>
  <si>
    <t>ator protagonista com atuação e tempo para preparo e ensaiois</t>
  </si>
  <si>
    <t>Ator secundário</t>
  </si>
  <si>
    <t>Ator coajuvante com ensaios e preparo</t>
  </si>
  <si>
    <t>Ator coajuvante</t>
  </si>
  <si>
    <t>figurantes</t>
  </si>
  <si>
    <t>figurantes para o filme</t>
  </si>
  <si>
    <t>pessoa</t>
  </si>
  <si>
    <t>HDs</t>
  </si>
  <si>
    <t>armazenamento do material do filme</t>
  </si>
  <si>
    <t>Controller</t>
  </si>
  <si>
    <t>Controle financeiro do projeto em todas as etapas</t>
  </si>
  <si>
    <t>Acessibilidade</t>
  </si>
  <si>
    <t xml:space="preserve">Inserção de recursos de acessibilidade </t>
  </si>
  <si>
    <t>Contador</t>
  </si>
  <si>
    <t xml:space="preserve">responsavel pela administração contabil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</si>
</sst>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26"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theme="1"/>
    </font>
    <font>
      <sz val="11.0"/>
      <color theme="1"/>
    </font>
    <font>
      <b/>
      <sz val="11.0"/>
      <color theme="1"/>
      <name val="Calibri"/>
    </font>
    <font/>
    <font>
      <b/>
      <u/>
      <sz val="18.0"/>
      <color theme="1"/>
      <name val="Calibri"/>
    </font>
    <font>
      <b/>
      <sz val="12.0"/>
      <color theme="0"/>
      <name val="Calibri"/>
    </font>
    <font>
      <b/>
      <i/>
      <sz val="12.0"/>
      <color rgb="FF000000"/>
      <name val="Calibri"/>
    </font>
    <font>
      <b/>
      <sz val="10.0"/>
      <color theme="0"/>
      <name val="Calibri"/>
    </font>
    <font>
      <b/>
      <sz val="11.0"/>
      <color rgb="FF000000"/>
      <name val="Calibri"/>
    </font>
    <font>
      <b/>
      <u/>
      <sz val="10.0"/>
      <color theme="0"/>
      <name val="Calibri"/>
    </font>
    <font>
      <sz val="11.0"/>
      <color rgb="FF000000"/>
      <name val="Calibri"/>
    </font>
    <font>
      <sz val="12.0"/>
      <color theme="1"/>
      <name val="Calibri"/>
    </font>
    <font>
      <sz val="12.0"/>
      <color theme="1"/>
    </font>
    <font>
      <sz val="13.0"/>
      <color theme="1"/>
      <name val="Calibri"/>
    </font>
    <font>
      <sz val="14.0"/>
      <color rgb="FF000000"/>
      <name val="Calibri"/>
    </font>
    <font>
      <sz val="11.0"/>
      <name val="Calibri"/>
    </font>
    <font>
      <sz val="13.0"/>
      <color theme="1"/>
    </font>
    <font>
      <sz val="14.0"/>
      <color theme="1"/>
      <name val="Calibri"/>
    </font>
    <font>
      <sz val="12.0"/>
    </font>
    <font>
      <sz val="14.0"/>
      <color theme="1"/>
    </font>
    <font>
      <sz val="12.0"/>
      <name val="Calibri"/>
    </font>
    <font>
      <sz val="14.0"/>
      <name val="Calibri"/>
    </font>
    <font>
      <sz val="13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EECE1"/>
        <bgColor rgb="FFEEECE1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left" vertical="center"/>
    </xf>
    <xf borderId="2" fillId="0" fontId="6" numFmtId="0" xfId="0" applyBorder="1" applyFont="1"/>
    <xf borderId="1" fillId="0" fontId="1" numFmtId="0" xfId="0" applyAlignment="1" applyBorder="1" applyFont="1">
      <alignment horizontal="center" readingOrder="0"/>
    </xf>
    <xf borderId="3" fillId="0" fontId="6" numFmtId="0" xfId="0" applyBorder="1" applyFont="1"/>
    <xf borderId="0" fillId="0" fontId="7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3" fontId="1" numFmtId="0" xfId="0" applyAlignment="1" applyBorder="1" applyFill="1" applyFont="1">
      <alignment horizontal="center" readingOrder="0"/>
    </xf>
    <xf borderId="4" fillId="4" fontId="8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5" fontId="9" numFmtId="0" xfId="0" applyAlignment="1" applyBorder="1" applyFill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5" fontId="2" numFmtId="0" xfId="0" applyAlignment="1" applyBorder="1" applyFont="1">
      <alignment horizontal="center"/>
    </xf>
    <xf borderId="11" fillId="6" fontId="10" numFmtId="164" xfId="0" applyAlignment="1" applyBorder="1" applyFill="1" applyFont="1" applyNumberFormat="1">
      <alignment vertical="center"/>
    </xf>
    <xf borderId="12" fillId="6" fontId="10" numFmtId="164" xfId="0" applyAlignment="1" applyBorder="1" applyFont="1" applyNumberFormat="1">
      <alignment vertical="center"/>
    </xf>
    <xf borderId="13" fillId="5" fontId="11" numFmtId="0" xfId="0" applyAlignment="1" applyBorder="1" applyFont="1">
      <alignment horizontal="center" vertical="center"/>
    </xf>
    <xf borderId="14" fillId="0" fontId="6" numFmtId="0" xfId="0" applyBorder="1" applyFont="1"/>
    <xf borderId="15" fillId="0" fontId="6" numFmtId="0" xfId="0" applyBorder="1" applyFont="1"/>
    <xf borderId="16" fillId="7" fontId="5" numFmtId="0" xfId="0" applyAlignment="1" applyBorder="1" applyFill="1" applyFon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19" fillId="7" fontId="5" numFmtId="10" xfId="0" applyAlignment="1" applyBorder="1" applyFont="1" applyNumberFormat="1">
      <alignment horizontal="center" vertical="center"/>
    </xf>
    <xf borderId="20" fillId="7" fontId="5" numFmtId="164" xfId="0" applyAlignment="1" applyBorder="1" applyFont="1" applyNumberFormat="1">
      <alignment horizontal="center" vertical="center"/>
    </xf>
    <xf borderId="21" fillId="6" fontId="10" numFmtId="164" xfId="0" applyAlignment="1" applyBorder="1" applyFont="1" applyNumberFormat="1">
      <alignment vertical="center"/>
    </xf>
    <xf borderId="22" fillId="0" fontId="5" numFmtId="0" xfId="0" applyAlignment="1" applyBorder="1" applyFont="1">
      <alignment horizontal="center" vertical="center"/>
    </xf>
    <xf borderId="23" fillId="0" fontId="1" numFmtId="10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24" fillId="7" fontId="5" numFmtId="0" xfId="0" applyAlignment="1" applyBorder="1" applyFont="1">
      <alignment horizontal="center" vertical="center"/>
    </xf>
    <xf borderId="25" fillId="0" fontId="6" numFmtId="0" xfId="0" applyBorder="1" applyFont="1"/>
    <xf borderId="26" fillId="0" fontId="6" numFmtId="0" xfId="0" applyBorder="1" applyFont="1"/>
    <xf borderId="27" fillId="7" fontId="5" numFmtId="164" xfId="0" applyAlignment="1" applyBorder="1" applyFont="1" applyNumberFormat="1">
      <alignment horizontal="center" vertical="center"/>
    </xf>
    <xf borderId="21" fillId="6" fontId="12" numFmtId="164" xfId="0" applyAlignment="1" applyBorder="1" applyFont="1" applyNumberFormat="1">
      <alignment horizontal="left" vertical="center"/>
    </xf>
    <xf borderId="11" fillId="6" fontId="10" numFmtId="164" xfId="0" applyAlignment="1" applyBorder="1" applyFont="1" applyNumberFormat="1">
      <alignment horizontal="left" vertical="center"/>
    </xf>
    <xf borderId="12" fillId="6" fontId="10" numFmtId="164" xfId="0" applyAlignment="1" applyBorder="1" applyFont="1" applyNumberFormat="1">
      <alignment horizontal="left" vertical="center"/>
    </xf>
    <xf borderId="16" fillId="0" fontId="5" numFmtId="0" xfId="0" applyAlignment="1" applyBorder="1" applyFont="1">
      <alignment horizontal="center" vertical="center"/>
    </xf>
    <xf borderId="16" fillId="0" fontId="5" numFmtId="164" xfId="0" applyAlignment="1" applyBorder="1" applyFont="1" applyNumberFormat="1">
      <alignment horizontal="center" vertical="center"/>
    </xf>
    <xf borderId="28" fillId="0" fontId="6" numFmtId="0" xfId="0" applyBorder="1" applyFont="1"/>
    <xf borderId="4" fillId="8" fontId="5" numFmtId="0" xfId="0" applyAlignment="1" applyBorder="1" applyFill="1" applyFont="1">
      <alignment horizontal="center" vertical="center"/>
    </xf>
    <xf borderId="4" fillId="8" fontId="5" numFmtId="164" xfId="0" applyAlignment="1" applyBorder="1" applyFont="1" applyNumberFormat="1">
      <alignment horizontal="center" vertical="center"/>
    </xf>
    <xf borderId="29" fillId="0" fontId="6" numFmtId="0" xfId="0" applyBorder="1" applyFont="1"/>
    <xf borderId="4" fillId="5" fontId="5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center" vertical="center"/>
    </xf>
    <xf borderId="30" fillId="6" fontId="10" numFmtId="164" xfId="0" applyAlignment="1" applyBorder="1" applyFont="1" applyNumberFormat="1">
      <alignment vertical="center"/>
    </xf>
    <xf borderId="20" fillId="6" fontId="10" numFmtId="164" xfId="0" applyAlignment="1" applyBorder="1" applyFont="1" applyNumberFormat="1">
      <alignment vertical="center"/>
    </xf>
    <xf borderId="31" fillId="6" fontId="10" numFmtId="164" xfId="0" applyAlignment="1" applyBorder="1" applyFont="1" applyNumberFormat="1">
      <alignment vertical="center"/>
    </xf>
    <xf borderId="22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32" fillId="4" fontId="8" numFmtId="0" xfId="0" applyAlignment="1" applyBorder="1" applyFont="1">
      <alignment horizontal="center" vertical="center"/>
    </xf>
    <xf borderId="33" fillId="0" fontId="6" numFmtId="0" xfId="0" applyBorder="1" applyFont="1"/>
    <xf borderId="34" fillId="0" fontId="6" numFmtId="0" xfId="0" applyBorder="1" applyFont="1"/>
    <xf borderId="35" fillId="0" fontId="11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23" fillId="0" fontId="13" numFmtId="164" xfId="0" applyAlignment="1" applyBorder="1" applyFont="1" applyNumberFormat="1">
      <alignment horizontal="center" shrinkToFit="0" vertical="center" wrapText="1"/>
    </xf>
    <xf borderId="36" fillId="0" fontId="6" numFmtId="0" xfId="0" applyBorder="1" applyFont="1"/>
    <xf borderId="23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23" fillId="0" fontId="11" numFmtId="164" xfId="0" applyAlignment="1" applyBorder="1" applyFont="1" applyNumberFormat="1">
      <alignment horizontal="center" vertical="center"/>
    </xf>
    <xf borderId="23" fillId="9" fontId="1" numFmtId="0" xfId="0" applyBorder="1" applyFill="1" applyFont="1"/>
    <xf borderId="23" fillId="0" fontId="14" numFmtId="0" xfId="0" applyAlignment="1" applyBorder="1" applyFont="1">
      <alignment readingOrder="0"/>
    </xf>
    <xf borderId="23" fillId="0" fontId="14" numFmtId="0" xfId="0" applyAlignment="1" applyBorder="1" applyFont="1">
      <alignment horizontal="left" readingOrder="0" vertical="center"/>
    </xf>
    <xf borderId="23" fillId="0" fontId="15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horizontal="left" readingOrder="0" vertical="center"/>
    </xf>
    <xf borderId="23" fillId="0" fontId="1" numFmtId="164" xfId="0" applyAlignment="1" applyBorder="1" applyFont="1" applyNumberFormat="1">
      <alignment readingOrder="0"/>
    </xf>
    <xf borderId="23" fillId="2" fontId="1" numFmtId="164" xfId="0" applyAlignment="1" applyBorder="1" applyFont="1" applyNumberFormat="1">
      <alignment horizontal="center"/>
    </xf>
    <xf borderId="23" fillId="5" fontId="14" numFmtId="0" xfId="0" applyAlignment="1" applyBorder="1" applyFont="1">
      <alignment horizontal="center" readingOrder="0"/>
    </xf>
    <xf borderId="23" fillId="9" fontId="1" numFmtId="0" xfId="0" applyAlignment="1" applyBorder="1" applyFont="1">
      <alignment readingOrder="0"/>
    </xf>
    <xf borderId="23" fillId="0" fontId="15" numFmtId="0" xfId="0" applyAlignment="1" applyBorder="1" applyFont="1">
      <alignment horizontal="left" readingOrder="0" vertical="center"/>
    </xf>
    <xf borderId="4" fillId="10" fontId="17" numFmtId="0" xfId="0" applyAlignment="1" applyBorder="1" applyFill="1" applyFont="1">
      <alignment horizontal="center" readingOrder="0" shrinkToFit="0" wrapText="1"/>
    </xf>
    <xf borderId="23" fillId="0" fontId="1" numFmtId="0" xfId="0" applyAlignment="1" applyBorder="1" applyFont="1">
      <alignment readingOrder="0"/>
    </xf>
    <xf borderId="23" fillId="0" fontId="4" numFmtId="164" xfId="0" applyAlignment="1" applyBorder="1" applyFont="1" applyNumberFormat="1">
      <alignment readingOrder="0"/>
    </xf>
    <xf borderId="23" fillId="3" fontId="14" numFmtId="0" xfId="0" applyAlignment="1" applyBorder="1" applyFont="1">
      <alignment readingOrder="0"/>
    </xf>
    <xf borderId="23" fillId="3" fontId="15" numFmtId="0" xfId="0" applyAlignment="1" applyBorder="1" applyFont="1">
      <alignment horizontal="left" readingOrder="0" vertical="center"/>
    </xf>
    <xf borderId="23" fillId="3" fontId="15" numFmtId="0" xfId="0" applyAlignment="1" applyBorder="1" applyFont="1">
      <alignment horizontal="left" readingOrder="0" shrinkToFit="0" vertical="center" wrapText="1"/>
    </xf>
    <xf borderId="4" fillId="3" fontId="17" numFmtId="0" xfId="0" applyAlignment="1" applyBorder="1" applyFont="1">
      <alignment horizontal="center" readingOrder="0" shrinkToFit="0" wrapText="1"/>
    </xf>
    <xf borderId="23" fillId="3" fontId="15" numFmtId="0" xfId="0" applyAlignment="1" applyBorder="1" applyFont="1">
      <alignment readingOrder="0"/>
    </xf>
    <xf borderId="23" fillId="3" fontId="4" numFmtId="0" xfId="0" applyAlignment="1" applyBorder="1" applyFont="1">
      <alignment readingOrder="0"/>
    </xf>
    <xf borderId="23" fillId="3" fontId="4" numFmtId="164" xfId="0" applyAlignment="1" applyBorder="1" applyFont="1" applyNumberFormat="1">
      <alignment readingOrder="0"/>
    </xf>
    <xf borderId="23" fillId="9" fontId="18" numFmtId="0" xfId="0" applyAlignment="1" applyBorder="1" applyFont="1">
      <alignment horizontal="right" vertical="bottom"/>
    </xf>
    <xf borderId="23" fillId="3" fontId="16" numFmtId="0" xfId="0" applyAlignment="1" applyBorder="1" applyFont="1">
      <alignment readingOrder="0"/>
    </xf>
    <xf borderId="4" fillId="3" fontId="16" numFmtId="0" xfId="0" applyAlignment="1" applyBorder="1" applyFont="1">
      <alignment horizontal="left" readingOrder="0" vertical="center"/>
    </xf>
    <xf borderId="23" fillId="5" fontId="16" numFmtId="0" xfId="0" applyAlignment="1" applyBorder="1" applyFont="1">
      <alignment horizontal="center" readingOrder="0"/>
    </xf>
    <xf borderId="36" fillId="9" fontId="18" numFmtId="0" xfId="0" applyAlignment="1" applyBorder="1" applyFont="1">
      <alignment horizontal="right" vertical="bottom"/>
    </xf>
    <xf borderId="36" fillId="9" fontId="18" numFmtId="0" xfId="0" applyAlignment="1" applyBorder="1" applyFont="1">
      <alignment horizontal="right" vertical="bottom"/>
    </xf>
    <xf borderId="4" fillId="3" fontId="15" numFmtId="0" xfId="0" applyAlignment="1" applyBorder="1" applyFont="1">
      <alignment horizontal="left" readingOrder="0" shrinkToFit="0" vertical="center" wrapText="1"/>
    </xf>
    <xf borderId="23" fillId="3" fontId="6" numFmtId="164" xfId="0" applyAlignment="1" applyBorder="1" applyFont="1" applyNumberFormat="1">
      <alignment readingOrder="0"/>
    </xf>
    <xf borderId="4" fillId="3" fontId="19" numFmtId="0" xfId="0" applyAlignment="1" applyBorder="1" applyFont="1">
      <alignment horizontal="left" readingOrder="0" shrinkToFit="0" vertical="center" wrapText="1"/>
    </xf>
    <xf borderId="4" fillId="3" fontId="20" numFmtId="0" xfId="0" applyAlignment="1" applyBorder="1" applyFont="1">
      <alignment horizontal="left" readingOrder="0" vertical="center"/>
    </xf>
    <xf borderId="0" fillId="3" fontId="21" numFmtId="0" xfId="0" applyAlignment="1" applyFont="1">
      <alignment readingOrder="0"/>
    </xf>
    <xf borderId="23" fillId="3" fontId="19" numFmtId="0" xfId="0" applyAlignment="1" applyBorder="1" applyFont="1">
      <alignment horizontal="left" readingOrder="0" shrinkToFit="0" vertical="center" wrapText="1"/>
    </xf>
    <xf borderId="23" fillId="3" fontId="22" numFmtId="0" xfId="0" applyAlignment="1" applyBorder="1" applyFont="1">
      <alignment horizontal="left" readingOrder="0" shrinkToFit="0" vertical="center" wrapText="1"/>
    </xf>
    <xf borderId="36" fillId="9" fontId="18" numFmtId="0" xfId="0" applyAlignment="1" applyBorder="1" applyFont="1">
      <alignment vertical="bottom"/>
    </xf>
    <xf borderId="5" fillId="10" fontId="20" numFmtId="0" xfId="0" applyAlignment="1" applyBorder="1" applyFont="1">
      <alignment horizontal="center" shrinkToFit="0" vertical="bottom" wrapText="1"/>
    </xf>
    <xf borderId="23" fillId="2" fontId="4" numFmtId="164" xfId="0" applyAlignment="1" applyBorder="1" applyFont="1" applyNumberFormat="1">
      <alignment horizontal="center" readingOrder="0"/>
    </xf>
    <xf borderId="6" fillId="10" fontId="23" numFmtId="0" xfId="0" applyAlignment="1" applyBorder="1" applyFont="1">
      <alignment readingOrder="0"/>
    </xf>
    <xf borderId="6" fillId="10" fontId="24" numFmtId="0" xfId="0" applyAlignment="1" applyBorder="1" applyFont="1">
      <alignment readingOrder="0" shrinkToFit="0" wrapText="1"/>
    </xf>
    <xf borderId="6" fillId="10" fontId="23" numFmtId="0" xfId="0" applyAlignment="1" applyBorder="1" applyFont="1">
      <alignment readingOrder="0" vertical="bottom"/>
    </xf>
    <xf borderId="6" fillId="10" fontId="18" numFmtId="0" xfId="0" applyAlignment="1" applyBorder="1" applyFont="1">
      <alignment horizontal="right" readingOrder="0" vertical="bottom"/>
    </xf>
    <xf borderId="6" fillId="10" fontId="18" numFmtId="164" xfId="0" applyAlignment="1" applyBorder="1" applyFont="1" applyNumberFormat="1">
      <alignment horizontal="right" readingOrder="0" vertical="bottom"/>
    </xf>
    <xf borderId="6" fillId="2" fontId="1" numFmtId="164" xfId="0" applyAlignment="1" applyBorder="1" applyFont="1" applyNumberFormat="1">
      <alignment horizontal="center" vertical="bottom"/>
    </xf>
    <xf borderId="6" fillId="2" fontId="1" numFmtId="164" xfId="0" applyAlignment="1" applyBorder="1" applyFont="1" applyNumberFormat="1">
      <alignment horizontal="center" readingOrder="0" vertical="bottom"/>
    </xf>
    <xf borderId="23" fillId="10" fontId="14" numFmtId="0" xfId="0" applyAlignment="1" applyBorder="1" applyFont="1">
      <alignment vertical="bottom"/>
    </xf>
    <xf borderId="6" fillId="10" fontId="23" numFmtId="0" xfId="0" applyBorder="1" applyFont="1"/>
    <xf borderId="6" fillId="10" fontId="25" numFmtId="0" xfId="0" applyAlignment="1" applyBorder="1" applyFont="1">
      <alignment shrinkToFit="0" wrapText="1"/>
    </xf>
    <xf borderId="6" fillId="10" fontId="14" numFmtId="0" xfId="0" applyAlignment="1" applyBorder="1" applyFont="1">
      <alignment vertical="bottom"/>
    </xf>
    <xf borderId="6" fillId="10" fontId="23" numFmtId="0" xfId="0" applyAlignment="1" applyBorder="1" applyFont="1">
      <alignment vertical="bottom"/>
    </xf>
    <xf borderId="6" fillId="10" fontId="18" numFmtId="0" xfId="0" applyAlignment="1" applyBorder="1" applyFont="1">
      <alignment horizontal="right" vertical="bottom"/>
    </xf>
    <xf borderId="6" fillId="5" fontId="1" numFmtId="164" xfId="0" applyAlignment="1" applyBorder="1" applyFont="1" applyNumberFormat="1">
      <alignment horizontal="center" vertical="bottom"/>
    </xf>
    <xf borderId="36" fillId="10" fontId="14" numFmtId="0" xfId="0" applyAlignment="1" applyBorder="1" applyFont="1">
      <alignment vertical="bottom"/>
    </xf>
    <xf borderId="37" fillId="10" fontId="23" numFmtId="0" xfId="0" applyBorder="1" applyFont="1"/>
    <xf borderId="37" fillId="10" fontId="25" numFmtId="0" xfId="0" applyAlignment="1" applyBorder="1" applyFont="1">
      <alignment shrinkToFit="0" wrapText="1"/>
    </xf>
    <xf borderId="38" fillId="10" fontId="20" numFmtId="0" xfId="0" applyAlignment="1" applyBorder="1" applyFont="1">
      <alignment horizontal="center" shrinkToFit="0" vertical="bottom" wrapText="1"/>
    </xf>
    <xf borderId="37" fillId="0" fontId="6" numFmtId="0" xfId="0" applyBorder="1" applyFont="1"/>
    <xf borderId="37" fillId="10" fontId="14" numFmtId="0" xfId="0" applyAlignment="1" applyBorder="1" applyFont="1">
      <alignment vertical="bottom"/>
    </xf>
    <xf borderId="37" fillId="10" fontId="14" numFmtId="0" xfId="0" applyAlignment="1" applyBorder="1" applyFont="1">
      <alignment readingOrder="0" vertical="bottom"/>
    </xf>
    <xf borderId="37" fillId="10" fontId="23" numFmtId="0" xfId="0" applyAlignment="1" applyBorder="1" applyFont="1">
      <alignment readingOrder="0" vertical="bottom"/>
    </xf>
    <xf borderId="37" fillId="10" fontId="18" numFmtId="0" xfId="0" applyAlignment="1" applyBorder="1" applyFont="1">
      <alignment horizontal="right" readingOrder="0" vertical="bottom"/>
    </xf>
    <xf borderId="37" fillId="10" fontId="18" numFmtId="164" xfId="0" applyAlignment="1" applyBorder="1" applyFont="1" applyNumberFormat="1">
      <alignment horizontal="right" readingOrder="0" vertical="bottom"/>
    </xf>
    <xf borderId="37" fillId="2" fontId="1" numFmtId="164" xfId="0" applyAlignment="1" applyBorder="1" applyFont="1" applyNumberFormat="1">
      <alignment horizontal="center" vertical="bottom"/>
    </xf>
    <xf borderId="37" fillId="5" fontId="14" numFmtId="0" xfId="0" applyAlignment="1" applyBorder="1" applyFont="1">
      <alignment horizontal="center" vertical="bottom"/>
    </xf>
    <xf borderId="37" fillId="10" fontId="23" numFmtId="0" xfId="0" applyAlignment="1" applyBorder="1" applyFont="1">
      <alignment vertical="bottom"/>
    </xf>
    <xf borderId="37" fillId="10" fontId="18" numFmtId="0" xfId="0" applyAlignment="1" applyBorder="1" applyFont="1">
      <alignment horizontal="right" vertical="bottom"/>
    </xf>
    <xf borderId="37" fillId="10" fontId="18" numFmtId="164" xfId="0" applyAlignment="1" applyBorder="1" applyFont="1" applyNumberFormat="1">
      <alignment horizontal="right" vertical="bottom"/>
    </xf>
    <xf borderId="36" fillId="0" fontId="14" numFmtId="0" xfId="0" applyAlignment="1" applyBorder="1" applyFont="1">
      <alignment vertical="bottom"/>
    </xf>
    <xf borderId="37" fillId="0" fontId="23" numFmtId="0" xfId="0" applyBorder="1" applyFont="1"/>
    <xf borderId="37" fillId="0" fontId="25" numFmtId="0" xfId="0" applyAlignment="1" applyBorder="1" applyFont="1">
      <alignment shrinkToFit="0" wrapText="1"/>
    </xf>
    <xf borderId="38" fillId="0" fontId="20" numFmtId="0" xfId="0" applyAlignment="1" applyBorder="1" applyFont="1">
      <alignment horizontal="center" shrinkToFit="0" vertical="bottom" wrapText="1"/>
    </xf>
    <xf borderId="37" fillId="0" fontId="14" numFmtId="0" xfId="0" applyAlignment="1" applyBorder="1" applyFont="1">
      <alignment vertical="bottom"/>
    </xf>
    <xf borderId="37" fillId="0" fontId="23" numFmtId="0" xfId="0" applyAlignment="1" applyBorder="1" applyFont="1">
      <alignment vertical="bottom"/>
    </xf>
    <xf borderId="37" fillId="0" fontId="18" numFmtId="0" xfId="0" applyAlignment="1" applyBorder="1" applyFont="1">
      <alignment horizontal="right" vertical="bottom"/>
    </xf>
    <xf borderId="37" fillId="0" fontId="18" numFmtId="164" xfId="0" applyAlignment="1" applyBorder="1" applyFont="1" applyNumberFormat="1">
      <alignment horizontal="right" vertical="bottom"/>
    </xf>
    <xf borderId="39" fillId="9" fontId="18" numFmtId="0" xfId="0" applyAlignment="1" applyBorder="1" applyFont="1">
      <alignment horizontal="right" vertical="bottom"/>
    </xf>
    <xf borderId="37" fillId="0" fontId="24" numFmtId="0" xfId="0" applyAlignment="1" applyBorder="1" applyFont="1">
      <alignment shrinkToFit="0" wrapText="1"/>
    </xf>
    <xf borderId="0" fillId="9" fontId="4" numFmtId="0" xfId="0" applyAlignment="1" applyFont="1">
      <alignment readingOrder="0"/>
    </xf>
    <xf borderId="37" fillId="0" fontId="23" numFmtId="0" xfId="0" applyAlignment="1" applyBorder="1" applyFont="1">
      <alignment readingOrder="0"/>
    </xf>
    <xf borderId="37" fillId="0" fontId="24" numFmtId="0" xfId="0" applyAlignment="1" applyBorder="1" applyFont="1">
      <alignment readingOrder="0" shrinkToFit="0" wrapText="1"/>
    </xf>
    <xf borderId="37" fillId="0" fontId="14" numFmtId="0" xfId="0" applyAlignment="1" applyBorder="1" applyFont="1">
      <alignment readingOrder="0" vertical="bottom"/>
    </xf>
    <xf borderId="37" fillId="0" fontId="23" numFmtId="0" xfId="0" applyAlignment="1" applyBorder="1" applyFont="1">
      <alignment readingOrder="0" vertical="bottom"/>
    </xf>
    <xf borderId="37" fillId="0" fontId="18" numFmtId="0" xfId="0" applyAlignment="1" applyBorder="1" applyFont="1">
      <alignment horizontal="right" readingOrder="0" vertical="bottom"/>
    </xf>
    <xf borderId="37" fillId="0" fontId="18" numFmtId="164" xfId="0" applyAlignment="1" applyBorder="1" applyFont="1" applyNumberFormat="1">
      <alignment horizontal="right" readingOrder="0" vertical="bottom"/>
    </xf>
    <xf borderId="37" fillId="0" fontId="18" numFmtId="0" xfId="0" applyAlignment="1" applyBorder="1" applyFont="1">
      <alignment vertical="bottom"/>
    </xf>
    <xf borderId="0" fillId="9" fontId="1" numFmtId="0" xfId="0" applyAlignment="1" applyFont="1">
      <alignment readingOrder="0"/>
    </xf>
    <xf borderId="36" fillId="0" fontId="14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Font="1"/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1" numFmtId="164" xfId="0" applyAlignment="1" applyFont="1" applyNumberFormat="1">
      <alignment horizontal="center" vertical="bottom"/>
    </xf>
    <xf borderId="0" fillId="5" fontId="14" numFmtId="0" xfId="0" applyAlignment="1" applyFont="1">
      <alignment horizontal="center" vertical="bottom"/>
    </xf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828675" cy="838200"/>
    <xdr:pic>
      <xdr:nvPicPr>
        <xdr:cNvPr descr="Descrição: Brasão_do_DF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3228975</xdr:colOff>
      <xdr:row>0</xdr:row>
      <xdr:rowOff>57150</xdr:rowOff>
    </xdr:from>
    <xdr:ext cx="1057275" cy="962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38"/>
    <col customWidth="1" min="3" max="4" width="47.38"/>
    <col customWidth="1" min="5" max="5" width="22.63"/>
    <col customWidth="1" min="6" max="6" width="22.5"/>
    <col customWidth="1" min="7" max="7" width="14.75"/>
    <col customWidth="1" min="8" max="8" width="28.38"/>
    <col customWidth="1" min="9" max="9" width="37.25"/>
    <col customWidth="1" min="10" max="10" width="21.0"/>
    <col customWidth="1" min="11" max="11" width="17.75"/>
    <col customWidth="1" min="12" max="12" width="15.88"/>
    <col customWidth="1" min="13" max="13" width="67.25"/>
  </cols>
  <sheetData>
    <row r="1">
      <c r="A1" s="1"/>
      <c r="B1" s="1"/>
      <c r="C1" s="2" t="s">
        <v>0</v>
      </c>
      <c r="D1" s="3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2" t="s">
        <v>1</v>
      </c>
      <c r="D2" s="3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2" t="s">
        <v>2</v>
      </c>
      <c r="D3" s="3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4" t="s">
        <v>3</v>
      </c>
      <c r="D4" s="5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"/>
      <c r="C5" s="2" t="s">
        <v>4</v>
      </c>
      <c r="D5" s="3"/>
      <c r="E5" s="1"/>
      <c r="F5" s="1"/>
      <c r="G5" s="1"/>
      <c r="H5" s="1"/>
      <c r="I5" s="1"/>
      <c r="J5" s="1"/>
      <c r="K5" s="1"/>
      <c r="L5" s="1"/>
      <c r="M5" s="1"/>
    </row>
    <row r="6">
      <c r="A6" s="1"/>
      <c r="B6" s="1"/>
      <c r="C6" s="1"/>
      <c r="D6" s="6"/>
      <c r="E6" s="1"/>
      <c r="F6" s="1"/>
      <c r="G6" s="1"/>
      <c r="H6" s="1"/>
      <c r="I6" s="1"/>
      <c r="J6" s="1"/>
      <c r="K6" s="1"/>
      <c r="L6" s="1"/>
      <c r="M6" s="1"/>
    </row>
    <row r="7" ht="30.0" customHeight="1">
      <c r="A7" s="7" t="s">
        <v>5</v>
      </c>
      <c r="B7" s="8"/>
      <c r="C7" s="9" t="s">
        <v>6</v>
      </c>
      <c r="D7" s="10"/>
      <c r="E7" s="10"/>
      <c r="F7" s="8"/>
      <c r="G7" s="1"/>
      <c r="H7" s="11" t="s">
        <v>7</v>
      </c>
      <c r="M7" s="1"/>
    </row>
    <row r="8" ht="9.75" customHeight="1">
      <c r="A8" s="12"/>
      <c r="B8" s="12"/>
      <c r="C8" s="1"/>
      <c r="D8" s="6"/>
      <c r="E8" s="1"/>
      <c r="F8" s="1"/>
      <c r="G8" s="1"/>
      <c r="H8" s="1"/>
      <c r="I8" s="1"/>
      <c r="J8" s="1"/>
      <c r="K8" s="1"/>
      <c r="L8" s="1"/>
      <c r="M8" s="1"/>
    </row>
    <row r="9" ht="30.0" customHeight="1">
      <c r="A9" s="7" t="s">
        <v>8</v>
      </c>
      <c r="B9" s="8"/>
      <c r="C9" s="13" t="s">
        <v>9</v>
      </c>
      <c r="D9" s="10"/>
      <c r="E9" s="10"/>
      <c r="F9" s="8"/>
      <c r="G9" s="1"/>
      <c r="H9" s="11" t="s">
        <v>10</v>
      </c>
      <c r="M9" s="1"/>
    </row>
    <row r="10">
      <c r="A10" s="1"/>
      <c r="B10" s="1"/>
      <c r="C10" s="1"/>
      <c r="D10" s="6"/>
      <c r="E10" s="1"/>
      <c r="F10" s="1"/>
      <c r="G10" s="1"/>
      <c r="H10" s="1"/>
      <c r="I10" s="1"/>
      <c r="J10" s="1"/>
      <c r="K10" s="1"/>
      <c r="L10" s="1"/>
      <c r="M10" s="1"/>
    </row>
    <row r="11">
      <c r="A11" s="14" t="s">
        <v>11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>
      <c r="A12" s="17" t="s">
        <v>12</v>
      </c>
      <c r="B12" s="18"/>
      <c r="C12" s="18"/>
      <c r="D12" s="18"/>
      <c r="E12" s="19"/>
      <c r="F12" s="20" t="s">
        <v>13</v>
      </c>
      <c r="G12" s="21" t="s">
        <v>14</v>
      </c>
      <c r="H12" s="21"/>
      <c r="I12" s="22"/>
      <c r="J12" s="23" t="s">
        <v>15</v>
      </c>
      <c r="K12" s="24"/>
      <c r="L12" s="24"/>
      <c r="M12" s="25"/>
    </row>
    <row r="13">
      <c r="A13" s="26" t="s">
        <v>16</v>
      </c>
      <c r="B13" s="27"/>
      <c r="C13" s="27"/>
      <c r="D13" s="28"/>
      <c r="E13" s="29">
        <f t="shared" ref="E13:E14" si="1">IF(F13=0,0%,F13/$E$15)</f>
        <v>0.02756390864</v>
      </c>
      <c r="F13" s="30">
        <f>SUMIFS(L21:L107,G21:G107,"Proponente",M21:M107,"FAC")+SUMIFS(L21:L107,G21:G107,"Proponente",M21:M107,"Recursos provenientes de cobrança de ingressos")</f>
        <v>40000</v>
      </c>
      <c r="G13" s="31" t="s">
        <v>17</v>
      </c>
      <c r="H13" s="21"/>
      <c r="I13" s="22"/>
      <c r="J13" s="32" t="s">
        <v>18</v>
      </c>
      <c r="K13" s="16"/>
      <c r="L13" s="33">
        <f t="shared" ref="L13:L16" si="2">IF(M13=0,0%,M13/$E$15)</f>
        <v>0.03600053198</v>
      </c>
      <c r="M13" s="34">
        <f t="shared" ref="M13:M16" si="3">SUMIFS($L$21:$L$110,$M$21:$M$110,"FAC",$H$21:$H$110,J13)</f>
        <v>52243</v>
      </c>
    </row>
    <row r="14" ht="15.75" customHeight="1">
      <c r="A14" s="35" t="s">
        <v>19</v>
      </c>
      <c r="B14" s="36"/>
      <c r="C14" s="36"/>
      <c r="D14" s="37"/>
      <c r="E14" s="29">
        <f t="shared" si="1"/>
        <v>0.9724360914</v>
      </c>
      <c r="F14" s="38">
        <f>SUMIFS(L21:L107,G21:G107,"Terceiros",M21:M107,"FAC")</f>
        <v>1411173</v>
      </c>
      <c r="G14" s="39" t="s">
        <v>20</v>
      </c>
      <c r="H14" s="40"/>
      <c r="I14" s="41"/>
      <c r="J14" s="32" t="s">
        <v>21</v>
      </c>
      <c r="K14" s="16"/>
      <c r="L14" s="33">
        <f t="shared" si="2"/>
        <v>0.01378195432</v>
      </c>
      <c r="M14" s="34">
        <f t="shared" si="3"/>
        <v>20000</v>
      </c>
    </row>
    <row r="15" ht="15.75" customHeight="1">
      <c r="A15" s="42" t="s">
        <v>22</v>
      </c>
      <c r="B15" s="27"/>
      <c r="C15" s="27"/>
      <c r="D15" s="28"/>
      <c r="E15" s="43">
        <f>SUMIF(M21:M107,"FAC",L21:L107)</f>
        <v>1451173</v>
      </c>
      <c r="F15" s="44"/>
      <c r="G15" s="31" t="s">
        <v>23</v>
      </c>
      <c r="H15" s="21"/>
      <c r="I15" s="22"/>
      <c r="J15" s="32" t="s">
        <v>24</v>
      </c>
      <c r="K15" s="16"/>
      <c r="L15" s="33">
        <f t="shared" si="2"/>
        <v>0.05640264806</v>
      </c>
      <c r="M15" s="34">
        <f t="shared" si="3"/>
        <v>81850</v>
      </c>
    </row>
    <row r="16" ht="22.5" customHeight="1">
      <c r="A16" s="45" t="s">
        <v>25</v>
      </c>
      <c r="B16" s="15"/>
      <c r="C16" s="15"/>
      <c r="D16" s="16"/>
      <c r="E16" s="46">
        <f>SUMIF(M21:M107,"Recursos provenientes de cobrança de ingressos",L21:L107)</f>
        <v>0</v>
      </c>
      <c r="F16" s="47"/>
      <c r="G16" s="31" t="s">
        <v>26</v>
      </c>
      <c r="H16" s="21"/>
      <c r="I16" s="22"/>
      <c r="J16" s="32" t="s">
        <v>27</v>
      </c>
      <c r="K16" s="16"/>
      <c r="L16" s="33">
        <f t="shared" si="2"/>
        <v>0.9210342254</v>
      </c>
      <c r="M16" s="34">
        <f t="shared" si="3"/>
        <v>1336580</v>
      </c>
    </row>
    <row r="17" ht="23.25" customHeight="1">
      <c r="A17" s="48" t="s">
        <v>28</v>
      </c>
      <c r="B17" s="15"/>
      <c r="C17" s="15"/>
      <c r="D17" s="16"/>
      <c r="E17" s="49">
        <f>SUMIF(M21:M107,"Recursos financeiros de outras fontes",L21:L107)</f>
        <v>0</v>
      </c>
      <c r="F17" s="47"/>
      <c r="G17" s="50"/>
      <c r="H17" s="51"/>
      <c r="I17" s="52"/>
      <c r="J17" s="53" t="s">
        <v>29</v>
      </c>
      <c r="K17" s="15"/>
      <c r="L17" s="16"/>
      <c r="M17" s="54">
        <f>SUM(M13:M16)</f>
        <v>1490673</v>
      </c>
    </row>
    <row r="18">
      <c r="A18" s="55" t="s">
        <v>30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7"/>
    </row>
    <row r="19" ht="195.75" customHeight="1">
      <c r="A19" s="58" t="s">
        <v>31</v>
      </c>
      <c r="B19" s="59" t="s">
        <v>32</v>
      </c>
      <c r="C19" s="59" t="s">
        <v>33</v>
      </c>
      <c r="D19" s="60" t="s">
        <v>34</v>
      </c>
      <c r="E19" s="60" t="s">
        <v>35</v>
      </c>
      <c r="F19" s="16"/>
      <c r="G19" s="59" t="s">
        <v>36</v>
      </c>
      <c r="H19" s="59" t="s">
        <v>37</v>
      </c>
      <c r="I19" s="59" t="s">
        <v>38</v>
      </c>
      <c r="J19" s="59" t="s">
        <v>39</v>
      </c>
      <c r="K19" s="61" t="s">
        <v>40</v>
      </c>
      <c r="L19" s="59" t="s">
        <v>41</v>
      </c>
      <c r="M19" s="59" t="s">
        <v>42</v>
      </c>
    </row>
    <row r="20" ht="34.5" customHeight="1">
      <c r="A20" s="62"/>
      <c r="B20" s="63" t="s">
        <v>43</v>
      </c>
      <c r="C20" s="63" t="s">
        <v>44</v>
      </c>
      <c r="D20" s="64" t="s">
        <v>45</v>
      </c>
      <c r="E20" s="65" t="s">
        <v>46</v>
      </c>
      <c r="F20" s="16"/>
      <c r="G20" s="63" t="s">
        <v>47</v>
      </c>
      <c r="H20" s="63" t="s">
        <v>48</v>
      </c>
      <c r="I20" s="63" t="s">
        <v>49</v>
      </c>
      <c r="J20" s="63" t="s">
        <v>50</v>
      </c>
      <c r="K20" s="66" t="s">
        <v>51</v>
      </c>
      <c r="L20" s="63" t="s">
        <v>52</v>
      </c>
      <c r="M20" s="63" t="s">
        <v>53</v>
      </c>
    </row>
    <row r="21" ht="15.75" customHeight="1">
      <c r="A21" s="67">
        <v>1.0</v>
      </c>
      <c r="B21" s="68" t="s">
        <v>54</v>
      </c>
      <c r="C21" s="69" t="s">
        <v>55</v>
      </c>
      <c r="D21" s="70" t="s">
        <v>56</v>
      </c>
      <c r="E21" s="71" t="s">
        <v>57</v>
      </c>
      <c r="F21" s="16"/>
      <c r="G21" s="68" t="s">
        <v>58</v>
      </c>
      <c r="H21" s="68" t="s">
        <v>18</v>
      </c>
      <c r="I21" s="68" t="s">
        <v>59</v>
      </c>
      <c r="J21" s="68">
        <v>1.0</v>
      </c>
      <c r="K21" s="72">
        <v>15000.0</v>
      </c>
      <c r="L21" s="73">
        <f t="shared" ref="L21:L24" si="4">IFERROR(J21*K21,"")</f>
        <v>15000</v>
      </c>
      <c r="M21" s="74" t="s">
        <v>60</v>
      </c>
    </row>
    <row r="22" ht="15.75" customHeight="1">
      <c r="A22" s="75">
        <v>2.0</v>
      </c>
      <c r="B22" s="68" t="s">
        <v>54</v>
      </c>
      <c r="C22" s="69" t="s">
        <v>61</v>
      </c>
      <c r="D22" s="70" t="s">
        <v>62</v>
      </c>
      <c r="E22" s="71" t="s">
        <v>63</v>
      </c>
      <c r="F22" s="16"/>
      <c r="G22" s="68" t="s">
        <v>58</v>
      </c>
      <c r="H22" s="68" t="s">
        <v>18</v>
      </c>
      <c r="I22" s="68" t="s">
        <v>59</v>
      </c>
      <c r="J22" s="68">
        <v>1.0</v>
      </c>
      <c r="K22" s="72">
        <v>37243.0</v>
      </c>
      <c r="L22" s="73">
        <f t="shared" si="4"/>
        <v>37243</v>
      </c>
      <c r="M22" s="74" t="s">
        <v>60</v>
      </c>
    </row>
    <row r="23" ht="15.75" customHeight="1">
      <c r="A23" s="75">
        <v>3.0</v>
      </c>
      <c r="B23" s="68" t="s">
        <v>54</v>
      </c>
      <c r="C23" s="76" t="s">
        <v>64</v>
      </c>
      <c r="D23" s="70" t="s">
        <v>65</v>
      </c>
      <c r="E23" s="77" t="s">
        <v>66</v>
      </c>
      <c r="F23" s="16"/>
      <c r="G23" s="68" t="s">
        <v>58</v>
      </c>
      <c r="H23" s="68" t="s">
        <v>27</v>
      </c>
      <c r="I23" s="68" t="s">
        <v>59</v>
      </c>
      <c r="J23" s="78">
        <v>1.0</v>
      </c>
      <c r="K23" s="79">
        <v>7000.0</v>
      </c>
      <c r="L23" s="73">
        <f t="shared" si="4"/>
        <v>7000</v>
      </c>
      <c r="M23" s="74" t="s">
        <v>60</v>
      </c>
    </row>
    <row r="24" ht="15.75" customHeight="1">
      <c r="A24" s="75">
        <v>4.0</v>
      </c>
      <c r="B24" s="80" t="s">
        <v>54</v>
      </c>
      <c r="C24" s="81" t="s">
        <v>67</v>
      </c>
      <c r="D24" s="82" t="s">
        <v>68</v>
      </c>
      <c r="E24" s="83" t="s">
        <v>66</v>
      </c>
      <c r="F24" s="16"/>
      <c r="G24" s="80" t="s">
        <v>69</v>
      </c>
      <c r="H24" s="80" t="s">
        <v>27</v>
      </c>
      <c r="I24" s="84" t="s">
        <v>70</v>
      </c>
      <c r="J24" s="85">
        <v>8.0</v>
      </c>
      <c r="K24" s="86">
        <v>5000.0</v>
      </c>
      <c r="L24" s="73">
        <f t="shared" si="4"/>
        <v>40000</v>
      </c>
      <c r="M24" s="74" t="s">
        <v>60</v>
      </c>
    </row>
    <row r="25" ht="15.75" customHeight="1">
      <c r="A25" s="87">
        <v>5.0</v>
      </c>
      <c r="B25" s="88" t="s">
        <v>54</v>
      </c>
      <c r="C25" s="81" t="s">
        <v>71</v>
      </c>
      <c r="D25" s="82" t="s">
        <v>72</v>
      </c>
      <c r="E25" s="89" t="s">
        <v>63</v>
      </c>
      <c r="F25" s="16"/>
      <c r="G25" s="80" t="s">
        <v>58</v>
      </c>
      <c r="H25" s="80" t="s">
        <v>27</v>
      </c>
      <c r="I25" s="84" t="s">
        <v>70</v>
      </c>
      <c r="J25" s="85">
        <v>8.0</v>
      </c>
      <c r="K25" s="86">
        <v>5000.0</v>
      </c>
      <c r="L25" s="73">
        <f>J25*K25</f>
        <v>40000</v>
      </c>
      <c r="M25" s="90" t="s">
        <v>60</v>
      </c>
    </row>
    <row r="26" ht="15.75" customHeight="1">
      <c r="A26" s="91">
        <v>6.0</v>
      </c>
      <c r="B26" s="88" t="s">
        <v>54</v>
      </c>
      <c r="C26" s="81" t="s">
        <v>73</v>
      </c>
      <c r="D26" s="82" t="s">
        <v>74</v>
      </c>
      <c r="E26" s="89" t="s">
        <v>63</v>
      </c>
      <c r="F26" s="16"/>
      <c r="G26" s="80" t="s">
        <v>58</v>
      </c>
      <c r="H26" s="80" t="s">
        <v>27</v>
      </c>
      <c r="I26" s="84" t="s">
        <v>70</v>
      </c>
      <c r="J26" s="85">
        <v>8.0</v>
      </c>
      <c r="K26" s="86">
        <v>3000.0</v>
      </c>
      <c r="L26" s="73">
        <f t="shared" ref="L26:L85" si="5">IFERROR(J26*K26,"")</f>
        <v>24000</v>
      </c>
      <c r="M26" s="90" t="s">
        <v>60</v>
      </c>
    </row>
    <row r="27" ht="15.75" customHeight="1">
      <c r="A27" s="92">
        <v>7.0</v>
      </c>
      <c r="B27" s="80" t="s">
        <v>54</v>
      </c>
      <c r="C27" s="81" t="s">
        <v>75</v>
      </c>
      <c r="D27" s="93" t="s">
        <v>76</v>
      </c>
      <c r="E27" s="89" t="s">
        <v>63</v>
      </c>
      <c r="F27" s="16"/>
      <c r="G27" s="80" t="s">
        <v>58</v>
      </c>
      <c r="H27" s="80" t="s">
        <v>27</v>
      </c>
      <c r="I27" s="84" t="s">
        <v>70</v>
      </c>
      <c r="J27" s="85">
        <v>8.0</v>
      </c>
      <c r="K27" s="86">
        <v>6000.0</v>
      </c>
      <c r="L27" s="73">
        <f t="shared" si="5"/>
        <v>48000</v>
      </c>
      <c r="M27" s="74" t="s">
        <v>60</v>
      </c>
    </row>
    <row r="28" ht="15.75" customHeight="1">
      <c r="A28" s="91">
        <v>8.0</v>
      </c>
      <c r="B28" s="80" t="s">
        <v>54</v>
      </c>
      <c r="C28" s="81" t="s">
        <v>77</v>
      </c>
      <c r="D28" s="93" t="s">
        <v>78</v>
      </c>
      <c r="E28" s="89" t="s">
        <v>63</v>
      </c>
      <c r="F28" s="16"/>
      <c r="G28" s="80" t="s">
        <v>58</v>
      </c>
      <c r="H28" s="80" t="s">
        <v>27</v>
      </c>
      <c r="I28" s="84" t="s">
        <v>70</v>
      </c>
      <c r="J28" s="85">
        <v>8.0</v>
      </c>
      <c r="K28" s="94">
        <v>6000.0</v>
      </c>
      <c r="L28" s="73">
        <f t="shared" si="5"/>
        <v>48000</v>
      </c>
      <c r="M28" s="74" t="s">
        <v>60</v>
      </c>
    </row>
    <row r="29" ht="15.75" customHeight="1">
      <c r="A29" s="91">
        <v>9.0</v>
      </c>
      <c r="B29" s="80" t="s">
        <v>54</v>
      </c>
      <c r="C29" s="81" t="s">
        <v>79</v>
      </c>
      <c r="D29" s="93" t="s">
        <v>80</v>
      </c>
      <c r="E29" s="89" t="s">
        <v>63</v>
      </c>
      <c r="F29" s="16"/>
      <c r="G29" s="80" t="s">
        <v>58</v>
      </c>
      <c r="H29" s="80" t="s">
        <v>27</v>
      </c>
      <c r="I29" s="84" t="s">
        <v>70</v>
      </c>
      <c r="J29" s="85">
        <v>8.0</v>
      </c>
      <c r="K29" s="86">
        <v>4000.0</v>
      </c>
      <c r="L29" s="73">
        <f t="shared" si="5"/>
        <v>32000</v>
      </c>
      <c r="M29" s="74" t="s">
        <v>60</v>
      </c>
    </row>
    <row r="30" ht="15.75" customHeight="1">
      <c r="A30" s="91">
        <v>10.0</v>
      </c>
      <c r="B30" s="80" t="s">
        <v>54</v>
      </c>
      <c r="C30" s="81" t="s">
        <v>81</v>
      </c>
      <c r="D30" s="95" t="s">
        <v>82</v>
      </c>
      <c r="E30" s="89" t="s">
        <v>63</v>
      </c>
      <c r="F30" s="16"/>
      <c r="G30" s="80" t="s">
        <v>58</v>
      </c>
      <c r="H30" s="80" t="s">
        <v>27</v>
      </c>
      <c r="I30" s="84" t="s">
        <v>70</v>
      </c>
      <c r="J30" s="85">
        <v>4.0</v>
      </c>
      <c r="K30" s="86">
        <v>2800.0</v>
      </c>
      <c r="L30" s="73">
        <f t="shared" si="5"/>
        <v>11200</v>
      </c>
      <c r="M30" s="74" t="s">
        <v>60</v>
      </c>
    </row>
    <row r="31" ht="15.75" customHeight="1">
      <c r="A31" s="92">
        <v>11.0</v>
      </c>
      <c r="B31" s="80" t="s">
        <v>54</v>
      </c>
      <c r="C31" s="81" t="s">
        <v>83</v>
      </c>
      <c r="D31" s="95" t="s">
        <v>84</v>
      </c>
      <c r="E31" s="89" t="s">
        <v>63</v>
      </c>
      <c r="F31" s="16"/>
      <c r="G31" s="80" t="s">
        <v>58</v>
      </c>
      <c r="H31" s="80" t="s">
        <v>27</v>
      </c>
      <c r="I31" s="84" t="s">
        <v>70</v>
      </c>
      <c r="J31" s="85">
        <v>4.0</v>
      </c>
      <c r="K31" s="86">
        <v>2500.0</v>
      </c>
      <c r="L31" s="73">
        <f t="shared" si="5"/>
        <v>10000</v>
      </c>
      <c r="M31" s="74" t="s">
        <v>60</v>
      </c>
    </row>
    <row r="32" ht="15.75" customHeight="1">
      <c r="A32" s="91">
        <v>12.0</v>
      </c>
      <c r="B32" s="80" t="s">
        <v>85</v>
      </c>
      <c r="C32" s="81" t="s">
        <v>86</v>
      </c>
      <c r="D32" s="95" t="s">
        <v>87</v>
      </c>
      <c r="E32" s="89" t="s">
        <v>63</v>
      </c>
      <c r="F32" s="16"/>
      <c r="G32" s="80" t="s">
        <v>58</v>
      </c>
      <c r="H32" s="80" t="s">
        <v>27</v>
      </c>
      <c r="I32" s="84" t="s">
        <v>88</v>
      </c>
      <c r="J32" s="85">
        <v>5.0</v>
      </c>
      <c r="K32" s="86">
        <v>3000.0</v>
      </c>
      <c r="L32" s="73">
        <f t="shared" si="5"/>
        <v>15000</v>
      </c>
      <c r="M32" s="74" t="s">
        <v>60</v>
      </c>
    </row>
    <row r="33" ht="15.75" customHeight="1">
      <c r="A33" s="91">
        <v>13.0</v>
      </c>
      <c r="B33" s="80" t="s">
        <v>85</v>
      </c>
      <c r="C33" s="81" t="s">
        <v>89</v>
      </c>
      <c r="D33" s="93" t="s">
        <v>90</v>
      </c>
      <c r="E33" s="89" t="s">
        <v>63</v>
      </c>
      <c r="F33" s="16"/>
      <c r="G33" s="80" t="s">
        <v>58</v>
      </c>
      <c r="H33" s="80" t="s">
        <v>27</v>
      </c>
      <c r="I33" s="84" t="s">
        <v>88</v>
      </c>
      <c r="J33" s="85">
        <v>5.0</v>
      </c>
      <c r="K33" s="86">
        <v>3000.0</v>
      </c>
      <c r="L33" s="73">
        <f t="shared" si="5"/>
        <v>15000</v>
      </c>
      <c r="M33" s="74" t="s">
        <v>60</v>
      </c>
    </row>
    <row r="34" ht="15.75" customHeight="1">
      <c r="A34" s="91">
        <v>14.0</v>
      </c>
      <c r="B34" s="80" t="s">
        <v>85</v>
      </c>
      <c r="C34" s="81" t="s">
        <v>91</v>
      </c>
      <c r="D34" s="93" t="s">
        <v>92</v>
      </c>
      <c r="E34" s="89" t="s">
        <v>63</v>
      </c>
      <c r="F34" s="16"/>
      <c r="G34" s="80" t="s">
        <v>58</v>
      </c>
      <c r="H34" s="80" t="s">
        <v>27</v>
      </c>
      <c r="I34" s="84" t="s">
        <v>88</v>
      </c>
      <c r="J34" s="85">
        <v>3.0</v>
      </c>
      <c r="K34" s="86">
        <v>3000.0</v>
      </c>
      <c r="L34" s="73">
        <f t="shared" si="5"/>
        <v>9000</v>
      </c>
      <c r="M34" s="74" t="s">
        <v>60</v>
      </c>
    </row>
    <row r="35" ht="15.75" customHeight="1">
      <c r="A35" s="91">
        <v>15.0</v>
      </c>
      <c r="B35" s="80" t="s">
        <v>85</v>
      </c>
      <c r="C35" s="81" t="s">
        <v>93</v>
      </c>
      <c r="D35" s="93" t="s">
        <v>94</v>
      </c>
      <c r="E35" s="89" t="s">
        <v>63</v>
      </c>
      <c r="F35" s="16"/>
      <c r="G35" s="80" t="s">
        <v>58</v>
      </c>
      <c r="H35" s="80" t="s">
        <v>27</v>
      </c>
      <c r="I35" s="84" t="s">
        <v>70</v>
      </c>
      <c r="J35" s="85">
        <v>4.0</v>
      </c>
      <c r="K35" s="86">
        <v>3000.0</v>
      </c>
      <c r="L35" s="73">
        <f t="shared" si="5"/>
        <v>12000</v>
      </c>
      <c r="M35" s="74" t="s">
        <v>60</v>
      </c>
    </row>
    <row r="36" ht="15.75" customHeight="1">
      <c r="A36" s="92">
        <v>16.0</v>
      </c>
      <c r="B36" s="80" t="s">
        <v>85</v>
      </c>
      <c r="C36" s="81" t="s">
        <v>95</v>
      </c>
      <c r="D36" s="93" t="s">
        <v>94</v>
      </c>
      <c r="E36" s="89" t="s">
        <v>63</v>
      </c>
      <c r="F36" s="16"/>
      <c r="G36" s="80" t="s">
        <v>58</v>
      </c>
      <c r="H36" s="80" t="s">
        <v>27</v>
      </c>
      <c r="I36" s="84" t="s">
        <v>70</v>
      </c>
      <c r="J36" s="85">
        <v>4.0</v>
      </c>
      <c r="K36" s="86">
        <v>3000.0</v>
      </c>
      <c r="L36" s="73">
        <f t="shared" si="5"/>
        <v>12000</v>
      </c>
      <c r="M36" s="74" t="s">
        <v>60</v>
      </c>
    </row>
    <row r="37" ht="15.75" customHeight="1">
      <c r="A37" s="92">
        <v>17.0</v>
      </c>
      <c r="B37" s="80" t="s">
        <v>85</v>
      </c>
      <c r="C37" s="81" t="s">
        <v>96</v>
      </c>
      <c r="D37" s="93" t="s">
        <v>97</v>
      </c>
      <c r="E37" s="89" t="s">
        <v>63</v>
      </c>
      <c r="F37" s="16"/>
      <c r="G37" s="80" t="s">
        <v>58</v>
      </c>
      <c r="H37" s="80" t="s">
        <v>27</v>
      </c>
      <c r="I37" s="84" t="s">
        <v>70</v>
      </c>
      <c r="J37" s="85">
        <v>4.0</v>
      </c>
      <c r="K37" s="86">
        <v>6000.0</v>
      </c>
      <c r="L37" s="73">
        <f t="shared" si="5"/>
        <v>24000</v>
      </c>
      <c r="M37" s="74" t="s">
        <v>60</v>
      </c>
    </row>
    <row r="38" ht="15.75" customHeight="1">
      <c r="A38" s="91">
        <v>18.0</v>
      </c>
      <c r="B38" s="80" t="s">
        <v>85</v>
      </c>
      <c r="C38" s="81" t="s">
        <v>98</v>
      </c>
      <c r="D38" s="93" t="s">
        <v>99</v>
      </c>
      <c r="E38" s="89" t="s">
        <v>63</v>
      </c>
      <c r="F38" s="16"/>
      <c r="G38" s="80" t="s">
        <v>58</v>
      </c>
      <c r="H38" s="80" t="s">
        <v>27</v>
      </c>
      <c r="I38" s="84" t="s">
        <v>70</v>
      </c>
      <c r="J38" s="85">
        <v>4.0</v>
      </c>
      <c r="K38" s="86">
        <v>3000.0</v>
      </c>
      <c r="L38" s="73">
        <f t="shared" si="5"/>
        <v>12000</v>
      </c>
      <c r="M38" s="74" t="s">
        <v>60</v>
      </c>
    </row>
    <row r="39" ht="15.75" customHeight="1">
      <c r="A39" s="91">
        <v>19.0</v>
      </c>
      <c r="B39" s="80" t="s">
        <v>85</v>
      </c>
      <c r="C39" s="81" t="s">
        <v>100</v>
      </c>
      <c r="D39" s="93" t="s">
        <v>99</v>
      </c>
      <c r="E39" s="89" t="s">
        <v>63</v>
      </c>
      <c r="F39" s="16"/>
      <c r="G39" s="80" t="s">
        <v>58</v>
      </c>
      <c r="H39" s="80" t="s">
        <v>27</v>
      </c>
      <c r="I39" s="84" t="s">
        <v>70</v>
      </c>
      <c r="J39" s="85">
        <v>4.0</v>
      </c>
      <c r="K39" s="86">
        <v>3000.0</v>
      </c>
      <c r="L39" s="73">
        <f t="shared" si="5"/>
        <v>12000</v>
      </c>
      <c r="M39" s="74" t="s">
        <v>60</v>
      </c>
    </row>
    <row r="40" ht="15.75" customHeight="1">
      <c r="A40" s="91">
        <v>20.0</v>
      </c>
      <c r="B40" s="80" t="s">
        <v>85</v>
      </c>
      <c r="C40" s="81" t="s">
        <v>101</v>
      </c>
      <c r="D40" s="93" t="s">
        <v>102</v>
      </c>
      <c r="E40" s="89" t="s">
        <v>63</v>
      </c>
      <c r="F40" s="16"/>
      <c r="G40" s="80" t="s">
        <v>58</v>
      </c>
      <c r="H40" s="80" t="s">
        <v>27</v>
      </c>
      <c r="I40" s="84" t="s">
        <v>70</v>
      </c>
      <c r="J40" s="85">
        <v>4.0</v>
      </c>
      <c r="K40" s="86">
        <v>3000.0</v>
      </c>
      <c r="L40" s="73">
        <f t="shared" si="5"/>
        <v>12000</v>
      </c>
      <c r="M40" s="74" t="s">
        <v>60</v>
      </c>
    </row>
    <row r="41" ht="15.75" customHeight="1">
      <c r="A41" s="91">
        <v>21.0</v>
      </c>
      <c r="B41" s="80" t="s">
        <v>85</v>
      </c>
      <c r="C41" s="81" t="s">
        <v>103</v>
      </c>
      <c r="D41" s="93" t="s">
        <v>104</v>
      </c>
      <c r="E41" s="89" t="s">
        <v>63</v>
      </c>
      <c r="F41" s="16"/>
      <c r="G41" s="80" t="s">
        <v>58</v>
      </c>
      <c r="H41" s="80" t="s">
        <v>27</v>
      </c>
      <c r="I41" s="84" t="s">
        <v>70</v>
      </c>
      <c r="J41" s="85">
        <v>4.0</v>
      </c>
      <c r="K41" s="86">
        <v>4000.0</v>
      </c>
      <c r="L41" s="73">
        <f t="shared" si="5"/>
        <v>16000</v>
      </c>
      <c r="M41" s="74" t="s">
        <v>60</v>
      </c>
    </row>
    <row r="42" ht="15.75" customHeight="1">
      <c r="A42" s="92">
        <v>22.0</v>
      </c>
      <c r="B42" s="80" t="s">
        <v>85</v>
      </c>
      <c r="C42" s="81" t="s">
        <v>105</v>
      </c>
      <c r="D42" s="93" t="s">
        <v>106</v>
      </c>
      <c r="E42" s="96" t="s">
        <v>63</v>
      </c>
      <c r="F42" s="16"/>
      <c r="G42" s="80" t="s">
        <v>58</v>
      </c>
      <c r="H42" s="80" t="s">
        <v>27</v>
      </c>
      <c r="I42" s="84" t="s">
        <v>70</v>
      </c>
      <c r="J42" s="85">
        <v>4.0</v>
      </c>
      <c r="K42" s="86">
        <v>2800.0</v>
      </c>
      <c r="L42" s="73">
        <f t="shared" si="5"/>
        <v>11200</v>
      </c>
      <c r="M42" s="74" t="s">
        <v>60</v>
      </c>
    </row>
    <row r="43" ht="15.75" customHeight="1">
      <c r="A43" s="91">
        <v>23.0</v>
      </c>
      <c r="B43" s="80" t="s">
        <v>85</v>
      </c>
      <c r="C43" s="97" t="s">
        <v>105</v>
      </c>
      <c r="D43" s="95" t="s">
        <v>106</v>
      </c>
      <c r="E43" s="89" t="s">
        <v>63</v>
      </c>
      <c r="F43" s="16"/>
      <c r="G43" s="80" t="s">
        <v>58</v>
      </c>
      <c r="H43" s="80" t="s">
        <v>27</v>
      </c>
      <c r="I43" s="84" t="s">
        <v>70</v>
      </c>
      <c r="J43" s="85">
        <v>4.0</v>
      </c>
      <c r="K43" s="86">
        <v>2800.0</v>
      </c>
      <c r="L43" s="73">
        <f t="shared" si="5"/>
        <v>11200</v>
      </c>
      <c r="M43" s="74" t="s">
        <v>60</v>
      </c>
    </row>
    <row r="44" ht="15.75" customHeight="1">
      <c r="A44" s="91">
        <v>24.0</v>
      </c>
      <c r="B44" s="80" t="s">
        <v>85</v>
      </c>
      <c r="C44" s="81" t="s">
        <v>107</v>
      </c>
      <c r="D44" s="95" t="s">
        <v>108</v>
      </c>
      <c r="E44" s="89" t="s">
        <v>63</v>
      </c>
      <c r="F44" s="16"/>
      <c r="G44" s="80" t="s">
        <v>58</v>
      </c>
      <c r="H44" s="80" t="s">
        <v>27</v>
      </c>
      <c r="I44" s="84" t="s">
        <v>88</v>
      </c>
      <c r="J44" s="85">
        <v>8.0</v>
      </c>
      <c r="K44" s="86">
        <v>1500.0</v>
      </c>
      <c r="L44" s="73">
        <f t="shared" si="5"/>
        <v>12000</v>
      </c>
      <c r="M44" s="74" t="s">
        <v>60</v>
      </c>
    </row>
    <row r="45" ht="15.75" customHeight="1">
      <c r="A45" s="91">
        <v>25.0</v>
      </c>
      <c r="B45" s="80" t="s">
        <v>85</v>
      </c>
      <c r="C45" s="81" t="s">
        <v>109</v>
      </c>
      <c r="D45" s="95" t="s">
        <v>108</v>
      </c>
      <c r="E45" s="89" t="s">
        <v>63</v>
      </c>
      <c r="F45" s="16"/>
      <c r="G45" s="80" t="s">
        <v>58</v>
      </c>
      <c r="H45" s="80" t="s">
        <v>27</v>
      </c>
      <c r="I45" s="84" t="s">
        <v>88</v>
      </c>
      <c r="J45" s="85">
        <v>8.0</v>
      </c>
      <c r="K45" s="86">
        <v>1000.0</v>
      </c>
      <c r="L45" s="73">
        <f t="shared" si="5"/>
        <v>8000</v>
      </c>
      <c r="M45" s="74" t="s">
        <v>60</v>
      </c>
    </row>
    <row r="46" ht="15.75" customHeight="1">
      <c r="A46" s="92">
        <v>26.0</v>
      </c>
      <c r="B46" s="80" t="s">
        <v>85</v>
      </c>
      <c r="C46" s="81" t="s">
        <v>110</v>
      </c>
      <c r="D46" s="95" t="s">
        <v>111</v>
      </c>
      <c r="E46" s="83" t="s">
        <v>66</v>
      </c>
      <c r="F46" s="16"/>
      <c r="G46" s="80" t="s">
        <v>58</v>
      </c>
      <c r="H46" s="80" t="s">
        <v>27</v>
      </c>
      <c r="I46" s="84" t="s">
        <v>112</v>
      </c>
      <c r="J46" s="85">
        <v>1.0</v>
      </c>
      <c r="K46" s="86">
        <v>50000.0</v>
      </c>
      <c r="L46" s="73">
        <f t="shared" si="5"/>
        <v>50000</v>
      </c>
      <c r="M46" s="74" t="s">
        <v>60</v>
      </c>
    </row>
    <row r="47" ht="15.75" customHeight="1">
      <c r="A47" s="91">
        <v>27.0</v>
      </c>
      <c r="B47" s="80" t="s">
        <v>85</v>
      </c>
      <c r="C47" s="81" t="s">
        <v>113</v>
      </c>
      <c r="D47" s="95" t="s">
        <v>114</v>
      </c>
      <c r="E47" s="83" t="s">
        <v>66</v>
      </c>
      <c r="F47" s="16"/>
      <c r="G47" s="80" t="s">
        <v>58</v>
      </c>
      <c r="H47" s="80" t="s">
        <v>27</v>
      </c>
      <c r="I47" s="84" t="s">
        <v>112</v>
      </c>
      <c r="J47" s="85">
        <v>1.0</v>
      </c>
      <c r="K47" s="86">
        <v>20000.0</v>
      </c>
      <c r="L47" s="73">
        <f t="shared" si="5"/>
        <v>20000</v>
      </c>
      <c r="M47" s="74" t="s">
        <v>60</v>
      </c>
    </row>
    <row r="48" ht="15.75" customHeight="1">
      <c r="A48" s="91">
        <v>28.0</v>
      </c>
      <c r="B48" s="80" t="s">
        <v>85</v>
      </c>
      <c r="C48" s="81" t="s">
        <v>115</v>
      </c>
      <c r="D48" s="95" t="s">
        <v>116</v>
      </c>
      <c r="E48" s="83" t="s">
        <v>66</v>
      </c>
      <c r="F48" s="16"/>
      <c r="G48" s="80" t="s">
        <v>58</v>
      </c>
      <c r="H48" s="80" t="s">
        <v>27</v>
      </c>
      <c r="I48" s="84" t="s">
        <v>112</v>
      </c>
      <c r="J48" s="85">
        <v>1.0</v>
      </c>
      <c r="K48" s="86">
        <v>15000.0</v>
      </c>
      <c r="L48" s="73">
        <f t="shared" si="5"/>
        <v>15000</v>
      </c>
      <c r="M48" s="74" t="s">
        <v>60</v>
      </c>
    </row>
    <row r="49" ht="15.75" customHeight="1">
      <c r="A49" s="91">
        <v>29.0</v>
      </c>
      <c r="B49" s="80" t="s">
        <v>85</v>
      </c>
      <c r="C49" s="81" t="s">
        <v>117</v>
      </c>
      <c r="D49" s="95" t="s">
        <v>118</v>
      </c>
      <c r="E49" s="89" t="s">
        <v>63</v>
      </c>
      <c r="F49" s="16"/>
      <c r="G49" s="80" t="s">
        <v>58</v>
      </c>
      <c r="H49" s="80" t="s">
        <v>27</v>
      </c>
      <c r="I49" s="84" t="s">
        <v>88</v>
      </c>
      <c r="J49" s="85">
        <v>5.0</v>
      </c>
      <c r="K49" s="86">
        <v>2995.26</v>
      </c>
      <c r="L49" s="73">
        <f t="shared" si="5"/>
        <v>14976.3</v>
      </c>
      <c r="M49" s="74" t="s">
        <v>60</v>
      </c>
    </row>
    <row r="50" ht="15.75" customHeight="1">
      <c r="A50" s="91">
        <v>30.0</v>
      </c>
      <c r="B50" s="80" t="s">
        <v>85</v>
      </c>
      <c r="C50" s="81" t="s">
        <v>119</v>
      </c>
      <c r="D50" s="95" t="s">
        <v>120</v>
      </c>
      <c r="E50" s="89" t="s">
        <v>63</v>
      </c>
      <c r="F50" s="16"/>
      <c r="G50" s="80" t="s">
        <v>58</v>
      </c>
      <c r="H50" s="80" t="s">
        <v>27</v>
      </c>
      <c r="I50" s="84" t="s">
        <v>88</v>
      </c>
      <c r="J50" s="85">
        <v>5.0</v>
      </c>
      <c r="K50" s="86">
        <v>2171.63</v>
      </c>
      <c r="L50" s="73">
        <f t="shared" si="5"/>
        <v>10858.15</v>
      </c>
      <c r="M50" s="74" t="s">
        <v>60</v>
      </c>
    </row>
    <row r="51" ht="15.75" customHeight="1">
      <c r="A51" s="92">
        <v>31.0</v>
      </c>
      <c r="B51" s="80" t="s">
        <v>85</v>
      </c>
      <c r="C51" s="81" t="s">
        <v>121</v>
      </c>
      <c r="D51" s="95" t="s">
        <v>122</v>
      </c>
      <c r="E51" s="89" t="s">
        <v>63</v>
      </c>
      <c r="F51" s="16"/>
      <c r="G51" s="80" t="s">
        <v>58</v>
      </c>
      <c r="H51" s="80" t="s">
        <v>27</v>
      </c>
      <c r="I51" s="84" t="s">
        <v>88</v>
      </c>
      <c r="J51" s="85">
        <v>5.0</v>
      </c>
      <c r="K51" s="86">
        <v>2171.63</v>
      </c>
      <c r="L51" s="73">
        <f t="shared" si="5"/>
        <v>10858.15</v>
      </c>
      <c r="M51" s="74" t="s">
        <v>60</v>
      </c>
    </row>
    <row r="52" ht="15.75" customHeight="1">
      <c r="A52" s="92">
        <v>32.0</v>
      </c>
      <c r="B52" s="80" t="s">
        <v>85</v>
      </c>
      <c r="C52" s="81" t="s">
        <v>123</v>
      </c>
      <c r="D52" s="95" t="s">
        <v>124</v>
      </c>
      <c r="E52" s="89" t="s">
        <v>63</v>
      </c>
      <c r="F52" s="16"/>
      <c r="G52" s="80" t="s">
        <v>58</v>
      </c>
      <c r="H52" s="80" t="s">
        <v>27</v>
      </c>
      <c r="I52" s="84" t="s">
        <v>88</v>
      </c>
      <c r="J52" s="85">
        <v>5.0</v>
      </c>
      <c r="K52" s="86">
        <v>2171.63</v>
      </c>
      <c r="L52" s="73">
        <f t="shared" si="5"/>
        <v>10858.15</v>
      </c>
      <c r="M52" s="74" t="s">
        <v>60</v>
      </c>
    </row>
    <row r="53" ht="15.75" customHeight="1">
      <c r="A53" s="91">
        <v>33.0</v>
      </c>
      <c r="B53" s="80" t="s">
        <v>85</v>
      </c>
      <c r="C53" s="81" t="s">
        <v>125</v>
      </c>
      <c r="D53" s="95" t="s">
        <v>126</v>
      </c>
      <c r="E53" s="89" t="s">
        <v>63</v>
      </c>
      <c r="F53" s="16"/>
      <c r="G53" s="80" t="s">
        <v>58</v>
      </c>
      <c r="H53" s="80" t="s">
        <v>27</v>
      </c>
      <c r="I53" s="84" t="s">
        <v>88</v>
      </c>
      <c r="J53" s="85">
        <v>5.0</v>
      </c>
      <c r="K53" s="86">
        <v>2171.63</v>
      </c>
      <c r="L53" s="73">
        <f t="shared" si="5"/>
        <v>10858.15</v>
      </c>
      <c r="M53" s="74" t="s">
        <v>60</v>
      </c>
    </row>
    <row r="54" ht="15.75" customHeight="1">
      <c r="A54" s="91">
        <v>34.0</v>
      </c>
      <c r="B54" s="80" t="s">
        <v>85</v>
      </c>
      <c r="C54" s="81" t="s">
        <v>127</v>
      </c>
      <c r="D54" s="95" t="s">
        <v>128</v>
      </c>
      <c r="E54" s="89" t="s">
        <v>63</v>
      </c>
      <c r="F54" s="16"/>
      <c r="G54" s="80" t="s">
        <v>58</v>
      </c>
      <c r="H54" s="80" t="s">
        <v>27</v>
      </c>
      <c r="I54" s="84" t="s">
        <v>88</v>
      </c>
      <c r="J54" s="85">
        <v>5.0</v>
      </c>
      <c r="K54" s="86">
        <v>2995.26</v>
      </c>
      <c r="L54" s="73">
        <f t="shared" si="5"/>
        <v>14976.3</v>
      </c>
      <c r="M54" s="74" t="s">
        <v>60</v>
      </c>
    </row>
    <row r="55" ht="15.75" customHeight="1">
      <c r="A55" s="91">
        <v>35.0</v>
      </c>
      <c r="B55" s="80" t="s">
        <v>85</v>
      </c>
      <c r="C55" s="81" t="s">
        <v>129</v>
      </c>
      <c r="D55" s="95" t="s">
        <v>130</v>
      </c>
      <c r="E55" s="89" t="s">
        <v>63</v>
      </c>
      <c r="F55" s="16"/>
      <c r="G55" s="80" t="s">
        <v>58</v>
      </c>
      <c r="H55" s="80" t="s">
        <v>27</v>
      </c>
      <c r="I55" s="84" t="s">
        <v>88</v>
      </c>
      <c r="J55" s="85">
        <v>5.0</v>
      </c>
      <c r="K55" s="86">
        <v>2171.63</v>
      </c>
      <c r="L55" s="73">
        <f t="shared" si="5"/>
        <v>10858.15</v>
      </c>
      <c r="M55" s="74" t="s">
        <v>60</v>
      </c>
    </row>
    <row r="56" ht="15.75" customHeight="1">
      <c r="A56" s="91">
        <v>36.0</v>
      </c>
      <c r="B56" s="80" t="s">
        <v>85</v>
      </c>
      <c r="C56" s="81" t="s">
        <v>131</v>
      </c>
      <c r="D56" s="95" t="s">
        <v>130</v>
      </c>
      <c r="E56" s="89" t="s">
        <v>63</v>
      </c>
      <c r="F56" s="16"/>
      <c r="G56" s="80" t="s">
        <v>58</v>
      </c>
      <c r="H56" s="80" t="s">
        <v>27</v>
      </c>
      <c r="I56" s="84" t="s">
        <v>88</v>
      </c>
      <c r="J56" s="85">
        <v>5.0</v>
      </c>
      <c r="K56" s="86">
        <v>1133.09</v>
      </c>
      <c r="L56" s="73">
        <f t="shared" si="5"/>
        <v>5665.45</v>
      </c>
      <c r="M56" s="74" t="s">
        <v>60</v>
      </c>
    </row>
    <row r="57" ht="15.75" customHeight="1">
      <c r="A57" s="92">
        <v>37.0</v>
      </c>
      <c r="B57" s="80" t="s">
        <v>85</v>
      </c>
      <c r="C57" s="81" t="s">
        <v>132</v>
      </c>
      <c r="D57" s="95" t="s">
        <v>133</v>
      </c>
      <c r="E57" s="89" t="s">
        <v>63</v>
      </c>
      <c r="F57" s="16"/>
      <c r="G57" s="80" t="s">
        <v>58</v>
      </c>
      <c r="H57" s="80" t="s">
        <v>27</v>
      </c>
      <c r="I57" s="84" t="s">
        <v>88</v>
      </c>
      <c r="J57" s="85">
        <v>5.0</v>
      </c>
      <c r="K57" s="86">
        <v>2171.63</v>
      </c>
      <c r="L57" s="73">
        <f t="shared" si="5"/>
        <v>10858.15</v>
      </c>
      <c r="M57" s="74" t="s">
        <v>60</v>
      </c>
    </row>
    <row r="58" ht="15.75" customHeight="1">
      <c r="A58" s="91">
        <v>38.0</v>
      </c>
      <c r="B58" s="80" t="s">
        <v>85</v>
      </c>
      <c r="C58" s="81" t="s">
        <v>134</v>
      </c>
      <c r="D58" s="98" t="s">
        <v>133</v>
      </c>
      <c r="E58" s="89" t="s">
        <v>63</v>
      </c>
      <c r="F58" s="16"/>
      <c r="G58" s="80" t="s">
        <v>58</v>
      </c>
      <c r="H58" s="80" t="s">
        <v>27</v>
      </c>
      <c r="I58" s="84" t="s">
        <v>88</v>
      </c>
      <c r="J58" s="85">
        <v>5.0</v>
      </c>
      <c r="K58" s="86">
        <v>1133.09</v>
      </c>
      <c r="L58" s="73">
        <f t="shared" si="5"/>
        <v>5665.45</v>
      </c>
      <c r="M58" s="74" t="s">
        <v>60</v>
      </c>
    </row>
    <row r="59" ht="15.75" customHeight="1">
      <c r="A59" s="91">
        <v>39.0</v>
      </c>
      <c r="B59" s="80" t="s">
        <v>85</v>
      </c>
      <c r="C59" s="81" t="s">
        <v>135</v>
      </c>
      <c r="D59" s="99" t="s">
        <v>136</v>
      </c>
      <c r="E59" s="83" t="s">
        <v>66</v>
      </c>
      <c r="F59" s="16"/>
      <c r="G59" s="80" t="s">
        <v>58</v>
      </c>
      <c r="H59" s="80" t="s">
        <v>27</v>
      </c>
      <c r="I59" s="84" t="s">
        <v>88</v>
      </c>
      <c r="J59" s="85">
        <v>6.0</v>
      </c>
      <c r="K59" s="86">
        <v>10000.0</v>
      </c>
      <c r="L59" s="73">
        <f t="shared" si="5"/>
        <v>60000</v>
      </c>
      <c r="M59" s="74" t="s">
        <v>60</v>
      </c>
    </row>
    <row r="60" ht="15.75" customHeight="1">
      <c r="A60" s="91">
        <v>40.0</v>
      </c>
      <c r="B60" s="80" t="s">
        <v>85</v>
      </c>
      <c r="C60" s="81" t="s">
        <v>137</v>
      </c>
      <c r="D60" s="99" t="s">
        <v>138</v>
      </c>
      <c r="E60" s="83" t="s">
        <v>66</v>
      </c>
      <c r="F60" s="16"/>
      <c r="G60" s="80" t="s">
        <v>58</v>
      </c>
      <c r="H60" s="80" t="s">
        <v>27</v>
      </c>
      <c r="I60" s="84" t="s">
        <v>88</v>
      </c>
      <c r="J60" s="85">
        <v>6.0</v>
      </c>
      <c r="K60" s="86">
        <v>5000.0</v>
      </c>
      <c r="L60" s="73">
        <f t="shared" si="5"/>
        <v>30000</v>
      </c>
      <c r="M60" s="74" t="s">
        <v>60</v>
      </c>
    </row>
    <row r="61" ht="15.75" customHeight="1">
      <c r="A61" s="92">
        <v>41.0</v>
      </c>
      <c r="B61" s="80" t="s">
        <v>85</v>
      </c>
      <c r="C61" s="81" t="s">
        <v>139</v>
      </c>
      <c r="D61" s="99" t="s">
        <v>140</v>
      </c>
      <c r="E61" s="83" t="s">
        <v>66</v>
      </c>
      <c r="F61" s="16"/>
      <c r="G61" s="80" t="s">
        <v>58</v>
      </c>
      <c r="H61" s="80" t="s">
        <v>27</v>
      </c>
      <c r="I61" s="84" t="s">
        <v>88</v>
      </c>
      <c r="J61" s="85">
        <v>6.0</v>
      </c>
      <c r="K61" s="86">
        <v>1500.0</v>
      </c>
      <c r="L61" s="73">
        <f t="shared" si="5"/>
        <v>9000</v>
      </c>
      <c r="M61" s="74" t="s">
        <v>60</v>
      </c>
    </row>
    <row r="62" ht="15.75" customHeight="1">
      <c r="A62" s="91">
        <v>42.0</v>
      </c>
      <c r="B62" s="80" t="s">
        <v>85</v>
      </c>
      <c r="C62" s="81" t="s">
        <v>141</v>
      </c>
      <c r="D62" s="99" t="s">
        <v>142</v>
      </c>
      <c r="E62" s="83" t="s">
        <v>66</v>
      </c>
      <c r="F62" s="16"/>
      <c r="G62" s="80" t="s">
        <v>58</v>
      </c>
      <c r="H62" s="80" t="s">
        <v>27</v>
      </c>
      <c r="I62" s="84" t="s">
        <v>88</v>
      </c>
      <c r="J62" s="85">
        <v>6.0</v>
      </c>
      <c r="K62" s="86">
        <v>1500.0</v>
      </c>
      <c r="L62" s="73">
        <f t="shared" si="5"/>
        <v>9000</v>
      </c>
      <c r="M62" s="74" t="s">
        <v>60</v>
      </c>
    </row>
    <row r="63" ht="15.75" customHeight="1">
      <c r="A63" s="91">
        <v>43.0</v>
      </c>
      <c r="B63" s="80" t="s">
        <v>85</v>
      </c>
      <c r="C63" s="81" t="s">
        <v>143</v>
      </c>
      <c r="D63" s="98" t="s">
        <v>144</v>
      </c>
      <c r="E63" s="89" t="s">
        <v>63</v>
      </c>
      <c r="F63" s="16"/>
      <c r="G63" s="80" t="s">
        <v>58</v>
      </c>
      <c r="H63" s="80" t="s">
        <v>27</v>
      </c>
      <c r="I63" s="84" t="s">
        <v>88</v>
      </c>
      <c r="J63" s="85">
        <v>6.0</v>
      </c>
      <c r="K63" s="86">
        <v>2995.0</v>
      </c>
      <c r="L63" s="73">
        <f t="shared" si="5"/>
        <v>17970</v>
      </c>
      <c r="M63" s="74" t="s">
        <v>60</v>
      </c>
    </row>
    <row r="64" ht="15.75" customHeight="1">
      <c r="A64" s="91">
        <v>44.0</v>
      </c>
      <c r="B64" s="80" t="s">
        <v>85</v>
      </c>
      <c r="C64" s="81" t="s">
        <v>145</v>
      </c>
      <c r="D64" s="98" t="s">
        <v>146</v>
      </c>
      <c r="E64" s="89" t="s">
        <v>63</v>
      </c>
      <c r="F64" s="16"/>
      <c r="G64" s="80" t="s">
        <v>58</v>
      </c>
      <c r="H64" s="80" t="s">
        <v>27</v>
      </c>
      <c r="I64" s="84" t="s">
        <v>88</v>
      </c>
      <c r="J64" s="85">
        <v>6.0</v>
      </c>
      <c r="K64" s="86">
        <v>2003.0</v>
      </c>
      <c r="L64" s="73">
        <f t="shared" si="5"/>
        <v>12018</v>
      </c>
      <c r="M64" s="74" t="s">
        <v>60</v>
      </c>
    </row>
    <row r="65" ht="15.75" customHeight="1">
      <c r="A65" s="91">
        <v>45.0</v>
      </c>
      <c r="B65" s="80" t="s">
        <v>85</v>
      </c>
      <c r="C65" s="81" t="s">
        <v>147</v>
      </c>
      <c r="D65" s="98" t="s">
        <v>146</v>
      </c>
      <c r="E65" s="89" t="s">
        <v>63</v>
      </c>
      <c r="F65" s="16"/>
      <c r="G65" s="80" t="s">
        <v>58</v>
      </c>
      <c r="H65" s="80" t="s">
        <v>27</v>
      </c>
      <c r="I65" s="84" t="s">
        <v>88</v>
      </c>
      <c r="J65" s="85">
        <v>6.0</v>
      </c>
      <c r="K65" s="86">
        <v>2003.0</v>
      </c>
      <c r="L65" s="73">
        <f t="shared" si="5"/>
        <v>12018</v>
      </c>
      <c r="M65" s="74" t="s">
        <v>60</v>
      </c>
    </row>
    <row r="66" ht="15.75" customHeight="1">
      <c r="A66" s="92">
        <v>46.0</v>
      </c>
      <c r="B66" s="80" t="s">
        <v>85</v>
      </c>
      <c r="C66" s="82" t="s">
        <v>148</v>
      </c>
      <c r="D66" s="98" t="s">
        <v>149</v>
      </c>
      <c r="E66" s="83" t="s">
        <v>66</v>
      </c>
      <c r="F66" s="16"/>
      <c r="G66" s="80" t="s">
        <v>58</v>
      </c>
      <c r="H66" s="80" t="s">
        <v>27</v>
      </c>
      <c r="I66" s="84" t="s">
        <v>88</v>
      </c>
      <c r="J66" s="85">
        <v>5.0</v>
      </c>
      <c r="K66" s="86">
        <v>2000.0</v>
      </c>
      <c r="L66" s="73">
        <f t="shared" si="5"/>
        <v>10000</v>
      </c>
      <c r="M66" s="74" t="s">
        <v>60</v>
      </c>
    </row>
    <row r="67" ht="15.75" customHeight="1">
      <c r="A67" s="92">
        <v>47.0</v>
      </c>
      <c r="B67" s="80" t="s">
        <v>85</v>
      </c>
      <c r="C67" s="81" t="s">
        <v>150</v>
      </c>
      <c r="D67" s="99" t="s">
        <v>151</v>
      </c>
      <c r="E67" s="83" t="s">
        <v>66</v>
      </c>
      <c r="F67" s="16"/>
      <c r="G67" s="80" t="s">
        <v>58</v>
      </c>
      <c r="H67" s="80" t="s">
        <v>27</v>
      </c>
      <c r="I67" s="84" t="s">
        <v>88</v>
      </c>
      <c r="J67" s="85">
        <v>7.0</v>
      </c>
      <c r="K67" s="86">
        <v>2400.0</v>
      </c>
      <c r="L67" s="73">
        <f t="shared" si="5"/>
        <v>16800</v>
      </c>
      <c r="M67" s="74" t="s">
        <v>60</v>
      </c>
    </row>
    <row r="68" ht="15.75" customHeight="1">
      <c r="A68" s="100"/>
      <c r="B68" s="80" t="s">
        <v>85</v>
      </c>
      <c r="C68" s="81" t="s">
        <v>152</v>
      </c>
      <c r="D68" s="98" t="s">
        <v>153</v>
      </c>
      <c r="E68" s="83" t="s">
        <v>66</v>
      </c>
      <c r="F68" s="16"/>
      <c r="G68" s="80" t="s">
        <v>58</v>
      </c>
      <c r="H68" s="80" t="s">
        <v>27</v>
      </c>
      <c r="I68" s="84" t="s">
        <v>88</v>
      </c>
      <c r="J68" s="85">
        <v>7.0</v>
      </c>
      <c r="K68" s="86">
        <v>2400.0</v>
      </c>
      <c r="L68" s="73">
        <f t="shared" si="5"/>
        <v>16800</v>
      </c>
      <c r="M68" s="74" t="s">
        <v>60</v>
      </c>
    </row>
    <row r="69" ht="15.75" customHeight="1">
      <c r="A69" s="91">
        <v>48.0</v>
      </c>
      <c r="B69" s="80" t="s">
        <v>85</v>
      </c>
      <c r="C69" s="81" t="s">
        <v>154</v>
      </c>
      <c r="D69" s="99" t="s">
        <v>155</v>
      </c>
      <c r="E69" s="83" t="s">
        <v>66</v>
      </c>
      <c r="F69" s="16"/>
      <c r="G69" s="80" t="s">
        <v>58</v>
      </c>
      <c r="H69" s="80" t="s">
        <v>27</v>
      </c>
      <c r="I69" s="84" t="s">
        <v>88</v>
      </c>
      <c r="J69" s="85">
        <v>7.0</v>
      </c>
      <c r="K69" s="86">
        <v>2400.0</v>
      </c>
      <c r="L69" s="73">
        <f t="shared" si="5"/>
        <v>16800</v>
      </c>
      <c r="M69" s="74" t="s">
        <v>60</v>
      </c>
    </row>
    <row r="70" ht="15.75" customHeight="1">
      <c r="A70" s="91">
        <v>49.0</v>
      </c>
      <c r="B70" s="80" t="s">
        <v>85</v>
      </c>
      <c r="C70" s="81" t="s">
        <v>156</v>
      </c>
      <c r="D70" s="98" t="s">
        <v>157</v>
      </c>
      <c r="E70" s="83" t="s">
        <v>66</v>
      </c>
      <c r="F70" s="16"/>
      <c r="G70" s="80" t="s">
        <v>58</v>
      </c>
      <c r="H70" s="80" t="s">
        <v>27</v>
      </c>
      <c r="I70" s="84" t="s">
        <v>158</v>
      </c>
      <c r="J70" s="85">
        <v>2500.0</v>
      </c>
      <c r="K70" s="86">
        <v>7.0</v>
      </c>
      <c r="L70" s="73">
        <f t="shared" si="5"/>
        <v>17500</v>
      </c>
      <c r="M70" s="74" t="s">
        <v>60</v>
      </c>
    </row>
    <row r="71" ht="15.75" customHeight="1">
      <c r="A71" s="91">
        <v>50.0</v>
      </c>
      <c r="B71" s="80" t="s">
        <v>85</v>
      </c>
      <c r="C71" s="81" t="s">
        <v>159</v>
      </c>
      <c r="D71" s="99" t="s">
        <v>160</v>
      </c>
      <c r="E71" s="83" t="s">
        <v>66</v>
      </c>
      <c r="F71" s="16"/>
      <c r="G71" s="80" t="s">
        <v>58</v>
      </c>
      <c r="H71" s="80" t="s">
        <v>27</v>
      </c>
      <c r="I71" s="84" t="s">
        <v>161</v>
      </c>
      <c r="J71" s="85">
        <v>36.0</v>
      </c>
      <c r="K71" s="86">
        <v>1800.0</v>
      </c>
      <c r="L71" s="73">
        <f t="shared" si="5"/>
        <v>64800</v>
      </c>
      <c r="M71" s="74" t="s">
        <v>60</v>
      </c>
    </row>
    <row r="72" ht="15.75" customHeight="1">
      <c r="A72" s="91">
        <v>51.0</v>
      </c>
      <c r="B72" s="80" t="s">
        <v>85</v>
      </c>
      <c r="C72" s="81" t="s">
        <v>162</v>
      </c>
      <c r="D72" s="99" t="s">
        <v>163</v>
      </c>
      <c r="E72" s="83" t="s">
        <v>66</v>
      </c>
      <c r="F72" s="16"/>
      <c r="G72" s="80" t="s">
        <v>58</v>
      </c>
      <c r="H72" s="80" t="s">
        <v>27</v>
      </c>
      <c r="I72" s="84" t="s">
        <v>161</v>
      </c>
      <c r="J72" s="85">
        <v>14.0</v>
      </c>
      <c r="K72" s="86">
        <v>3000.0</v>
      </c>
      <c r="L72" s="73">
        <f t="shared" si="5"/>
        <v>42000</v>
      </c>
      <c r="M72" s="74" t="s">
        <v>60</v>
      </c>
    </row>
    <row r="73" ht="15.75" customHeight="1">
      <c r="A73" s="92">
        <v>52.0</v>
      </c>
      <c r="B73" s="80" t="s">
        <v>85</v>
      </c>
      <c r="C73" s="81" t="s">
        <v>164</v>
      </c>
      <c r="D73" s="98" t="s">
        <v>165</v>
      </c>
      <c r="E73" s="83" t="s">
        <v>66</v>
      </c>
      <c r="F73" s="16"/>
      <c r="G73" s="80" t="s">
        <v>58</v>
      </c>
      <c r="H73" s="80" t="s">
        <v>27</v>
      </c>
      <c r="I73" s="84" t="s">
        <v>166</v>
      </c>
      <c r="J73" s="85">
        <v>300.0</v>
      </c>
      <c r="K73" s="86">
        <v>99.0</v>
      </c>
      <c r="L73" s="73">
        <f t="shared" si="5"/>
        <v>29700</v>
      </c>
      <c r="M73" s="74" t="s">
        <v>60</v>
      </c>
    </row>
    <row r="74" ht="15.75" customHeight="1">
      <c r="A74" s="91">
        <v>53.0</v>
      </c>
      <c r="B74" s="80" t="s">
        <v>85</v>
      </c>
      <c r="C74" s="81" t="s">
        <v>167</v>
      </c>
      <c r="D74" s="98" t="s">
        <v>168</v>
      </c>
      <c r="E74" s="83" t="s">
        <v>66</v>
      </c>
      <c r="F74" s="16"/>
      <c r="G74" s="80" t="s">
        <v>58</v>
      </c>
      <c r="H74" s="80" t="s">
        <v>27</v>
      </c>
      <c r="I74" s="84" t="s">
        <v>169</v>
      </c>
      <c r="J74" s="85">
        <v>1.0</v>
      </c>
      <c r="K74" s="86">
        <v>10000.0</v>
      </c>
      <c r="L74" s="73">
        <f t="shared" si="5"/>
        <v>10000</v>
      </c>
      <c r="M74" s="74" t="s">
        <v>60</v>
      </c>
    </row>
    <row r="75" ht="15.75" customHeight="1">
      <c r="A75" s="91">
        <v>54.0</v>
      </c>
      <c r="B75" s="80" t="s">
        <v>170</v>
      </c>
      <c r="C75" s="81" t="s">
        <v>171</v>
      </c>
      <c r="D75" s="98" t="s">
        <v>172</v>
      </c>
      <c r="E75" s="89" t="s">
        <v>63</v>
      </c>
      <c r="F75" s="16"/>
      <c r="G75" s="80" t="s">
        <v>58</v>
      </c>
      <c r="H75" s="80" t="s">
        <v>27</v>
      </c>
      <c r="I75" s="84" t="s">
        <v>88</v>
      </c>
      <c r="J75" s="85">
        <v>10.0</v>
      </c>
      <c r="K75" s="86">
        <v>2995.26</v>
      </c>
      <c r="L75" s="73">
        <f t="shared" si="5"/>
        <v>29952.6</v>
      </c>
      <c r="M75" s="74" t="s">
        <v>60</v>
      </c>
    </row>
    <row r="76" ht="15.75" customHeight="1">
      <c r="A76" s="91">
        <v>55.0</v>
      </c>
      <c r="B76" s="80" t="s">
        <v>170</v>
      </c>
      <c r="C76" s="81" t="s">
        <v>173</v>
      </c>
      <c r="D76" s="98" t="s">
        <v>174</v>
      </c>
      <c r="E76" s="83" t="s">
        <v>66</v>
      </c>
      <c r="F76" s="16"/>
      <c r="G76" s="80" t="s">
        <v>58</v>
      </c>
      <c r="H76" s="80" t="s">
        <v>27</v>
      </c>
      <c r="I76" s="84" t="s">
        <v>112</v>
      </c>
      <c r="J76" s="85">
        <v>1.0</v>
      </c>
      <c r="K76" s="86">
        <v>20000.0</v>
      </c>
      <c r="L76" s="73">
        <f t="shared" si="5"/>
        <v>20000</v>
      </c>
      <c r="M76" s="74" t="s">
        <v>60</v>
      </c>
    </row>
    <row r="77" ht="15.75" customHeight="1">
      <c r="A77" s="92">
        <v>56.0</v>
      </c>
      <c r="B77" s="80" t="s">
        <v>170</v>
      </c>
      <c r="C77" s="81" t="s">
        <v>175</v>
      </c>
      <c r="D77" s="98" t="s">
        <v>176</v>
      </c>
      <c r="E77" s="83" t="s">
        <v>66</v>
      </c>
      <c r="F77" s="16"/>
      <c r="G77" s="80" t="s">
        <v>58</v>
      </c>
      <c r="H77" s="80" t="s">
        <v>27</v>
      </c>
      <c r="I77" s="84" t="s">
        <v>177</v>
      </c>
      <c r="J77" s="85">
        <v>1.0</v>
      </c>
      <c r="K77" s="86">
        <v>30000.0</v>
      </c>
      <c r="L77" s="73">
        <f t="shared" si="5"/>
        <v>30000</v>
      </c>
      <c r="M77" s="74" t="s">
        <v>60</v>
      </c>
    </row>
    <row r="78" ht="15.75" customHeight="1">
      <c r="A78" s="91">
        <v>57.0</v>
      </c>
      <c r="B78" s="80" t="s">
        <v>170</v>
      </c>
      <c r="C78" s="81" t="s">
        <v>178</v>
      </c>
      <c r="D78" s="98" t="s">
        <v>179</v>
      </c>
      <c r="E78" s="89" t="s">
        <v>63</v>
      </c>
      <c r="F78" s="16"/>
      <c r="G78" s="80" t="s">
        <v>58</v>
      </c>
      <c r="H78" s="80" t="s">
        <v>27</v>
      </c>
      <c r="I78" s="84" t="s">
        <v>177</v>
      </c>
      <c r="J78" s="85">
        <v>3.0</v>
      </c>
      <c r="K78" s="86">
        <v>2995.26</v>
      </c>
      <c r="L78" s="73">
        <f t="shared" si="5"/>
        <v>8985.78</v>
      </c>
      <c r="M78" s="74" t="s">
        <v>60</v>
      </c>
    </row>
    <row r="79" ht="15.75" customHeight="1">
      <c r="A79" s="91">
        <v>58.0</v>
      </c>
      <c r="B79" s="80" t="s">
        <v>170</v>
      </c>
      <c r="C79" s="81" t="s">
        <v>180</v>
      </c>
      <c r="D79" s="98" t="s">
        <v>181</v>
      </c>
      <c r="E79" s="83" t="s">
        <v>66</v>
      </c>
      <c r="F79" s="16"/>
      <c r="G79" s="80" t="s">
        <v>58</v>
      </c>
      <c r="H79" s="80" t="s">
        <v>27</v>
      </c>
      <c r="I79" s="84" t="s">
        <v>177</v>
      </c>
      <c r="J79" s="85">
        <v>1.0</v>
      </c>
      <c r="K79" s="86">
        <v>50000.0</v>
      </c>
      <c r="L79" s="73">
        <f t="shared" si="5"/>
        <v>50000</v>
      </c>
      <c r="M79" s="74" t="s">
        <v>60</v>
      </c>
    </row>
    <row r="80" ht="15.75" customHeight="1">
      <c r="A80" s="91">
        <v>59.0</v>
      </c>
      <c r="B80" s="80" t="s">
        <v>170</v>
      </c>
      <c r="C80" s="81" t="s">
        <v>182</v>
      </c>
      <c r="D80" s="98" t="s">
        <v>183</v>
      </c>
      <c r="E80" s="83" t="s">
        <v>66</v>
      </c>
      <c r="F80" s="16"/>
      <c r="G80" s="80" t="s">
        <v>58</v>
      </c>
      <c r="H80" s="80" t="s">
        <v>24</v>
      </c>
      <c r="I80" s="84" t="s">
        <v>177</v>
      </c>
      <c r="J80" s="85">
        <v>1.0</v>
      </c>
      <c r="K80" s="86">
        <v>12000.0</v>
      </c>
      <c r="L80" s="73">
        <f t="shared" si="5"/>
        <v>12000</v>
      </c>
      <c r="M80" s="74" t="s">
        <v>60</v>
      </c>
    </row>
    <row r="81" ht="15.75" customHeight="1">
      <c r="A81" s="91">
        <v>60.0</v>
      </c>
      <c r="B81" s="80" t="s">
        <v>170</v>
      </c>
      <c r="C81" s="81" t="s">
        <v>184</v>
      </c>
      <c r="D81" s="98" t="s">
        <v>185</v>
      </c>
      <c r="E81" s="83" t="s">
        <v>66</v>
      </c>
      <c r="F81" s="16"/>
      <c r="G81" s="80" t="s">
        <v>58</v>
      </c>
      <c r="H81" s="80" t="s">
        <v>24</v>
      </c>
      <c r="I81" s="84" t="s">
        <v>177</v>
      </c>
      <c r="J81" s="85">
        <v>1.0</v>
      </c>
      <c r="K81" s="86">
        <v>6000.0</v>
      </c>
      <c r="L81" s="73">
        <f t="shared" si="5"/>
        <v>6000</v>
      </c>
      <c r="M81" s="74" t="s">
        <v>60</v>
      </c>
    </row>
    <row r="82" ht="15.75" customHeight="1">
      <c r="A82" s="92">
        <v>61.0</v>
      </c>
      <c r="B82" s="80" t="s">
        <v>170</v>
      </c>
      <c r="C82" s="81" t="s">
        <v>186</v>
      </c>
      <c r="D82" s="98" t="s">
        <v>187</v>
      </c>
      <c r="E82" s="83" t="s">
        <v>66</v>
      </c>
      <c r="F82" s="16"/>
      <c r="G82" s="80" t="s">
        <v>58</v>
      </c>
      <c r="H82" s="80" t="s">
        <v>24</v>
      </c>
      <c r="I82" s="84" t="s">
        <v>188</v>
      </c>
      <c r="J82" s="85">
        <v>2.0</v>
      </c>
      <c r="K82" s="86">
        <v>3000.0</v>
      </c>
      <c r="L82" s="73">
        <f t="shared" si="5"/>
        <v>6000</v>
      </c>
      <c r="M82" s="74" t="s">
        <v>60</v>
      </c>
    </row>
    <row r="83" ht="15.75" customHeight="1">
      <c r="A83" s="92">
        <v>62.0</v>
      </c>
      <c r="B83" s="80" t="s">
        <v>170</v>
      </c>
      <c r="C83" s="81" t="s">
        <v>189</v>
      </c>
      <c r="D83" s="98" t="s">
        <v>190</v>
      </c>
      <c r="E83" s="89" t="s">
        <v>63</v>
      </c>
      <c r="F83" s="16"/>
      <c r="G83" s="80" t="s">
        <v>58</v>
      </c>
      <c r="H83" s="80" t="s">
        <v>24</v>
      </c>
      <c r="I83" s="84" t="s">
        <v>88</v>
      </c>
      <c r="J83" s="85">
        <v>5.0</v>
      </c>
      <c r="K83" s="86">
        <v>1500.0</v>
      </c>
      <c r="L83" s="73">
        <f t="shared" si="5"/>
        <v>7500</v>
      </c>
      <c r="M83" s="74" t="s">
        <v>60</v>
      </c>
    </row>
    <row r="84" ht="15.75" customHeight="1">
      <c r="A84" s="91">
        <v>63.0</v>
      </c>
      <c r="B84" s="80" t="s">
        <v>170</v>
      </c>
      <c r="C84" s="81" t="s">
        <v>191</v>
      </c>
      <c r="D84" s="98" t="s">
        <v>192</v>
      </c>
      <c r="E84" s="89" t="s">
        <v>63</v>
      </c>
      <c r="F84" s="16"/>
      <c r="G84" s="80" t="s">
        <v>58</v>
      </c>
      <c r="H84" s="80" t="s">
        <v>24</v>
      </c>
      <c r="I84" s="84" t="s">
        <v>88</v>
      </c>
      <c r="J84" s="85">
        <v>5.0</v>
      </c>
      <c r="K84" s="86">
        <v>2500.0</v>
      </c>
      <c r="L84" s="73">
        <f t="shared" si="5"/>
        <v>12500</v>
      </c>
      <c r="M84" s="74" t="s">
        <v>60</v>
      </c>
    </row>
    <row r="85" ht="15.75" customHeight="1">
      <c r="A85" s="91">
        <v>64.0</v>
      </c>
      <c r="B85" s="80" t="s">
        <v>170</v>
      </c>
      <c r="C85" s="81" t="s">
        <v>193</v>
      </c>
      <c r="D85" s="98" t="s">
        <v>194</v>
      </c>
      <c r="E85" s="101" t="s">
        <v>195</v>
      </c>
      <c r="F85" s="16"/>
      <c r="G85" s="80" t="s">
        <v>58</v>
      </c>
      <c r="H85" s="80" t="s">
        <v>24</v>
      </c>
      <c r="I85" s="84" t="s">
        <v>196</v>
      </c>
      <c r="J85" s="85">
        <v>10.0</v>
      </c>
      <c r="K85" s="86">
        <v>500.0</v>
      </c>
      <c r="L85" s="73">
        <f t="shared" si="5"/>
        <v>5000</v>
      </c>
      <c r="M85" s="74" t="s">
        <v>60</v>
      </c>
    </row>
    <row r="86" ht="15.75" customHeight="1">
      <c r="A86" s="91">
        <v>65.0</v>
      </c>
      <c r="B86" s="80" t="s">
        <v>170</v>
      </c>
      <c r="C86" s="81" t="s">
        <v>197</v>
      </c>
      <c r="D86" s="99" t="s">
        <v>198</v>
      </c>
      <c r="E86" s="101" t="s">
        <v>195</v>
      </c>
      <c r="F86" s="16"/>
      <c r="G86" s="80" t="s">
        <v>58</v>
      </c>
      <c r="H86" s="80" t="s">
        <v>24</v>
      </c>
      <c r="I86" s="84" t="s">
        <v>199</v>
      </c>
      <c r="J86" s="85">
        <v>1.0</v>
      </c>
      <c r="K86" s="86">
        <v>7000.0</v>
      </c>
      <c r="L86" s="102">
        <v>7000.0</v>
      </c>
      <c r="M86" s="74" t="s">
        <v>60</v>
      </c>
    </row>
    <row r="87" ht="15.75" customHeight="1">
      <c r="A87" s="91">
        <v>66.0</v>
      </c>
      <c r="B87" s="80" t="s">
        <v>170</v>
      </c>
      <c r="C87" s="103" t="s">
        <v>200</v>
      </c>
      <c r="D87" s="104" t="s">
        <v>201</v>
      </c>
      <c r="E87" s="101" t="s">
        <v>195</v>
      </c>
      <c r="F87" s="16"/>
      <c r="G87" s="80" t="s">
        <v>58</v>
      </c>
      <c r="H87" s="80" t="s">
        <v>24</v>
      </c>
      <c r="I87" s="105" t="s">
        <v>202</v>
      </c>
      <c r="J87" s="106">
        <v>20.0</v>
      </c>
      <c r="K87" s="107">
        <v>400.0</v>
      </c>
      <c r="L87" s="108">
        <f t="shared" ref="L87:L112" si="6">IFERROR(J87*K87,"")</f>
        <v>8000</v>
      </c>
      <c r="M87" s="74" t="s">
        <v>60</v>
      </c>
    </row>
    <row r="88" ht="15.75" customHeight="1">
      <c r="A88" s="91">
        <v>67.0</v>
      </c>
      <c r="B88" s="80" t="s">
        <v>170</v>
      </c>
      <c r="C88" s="103" t="s">
        <v>203</v>
      </c>
      <c r="D88" s="104" t="s">
        <v>204</v>
      </c>
      <c r="E88" s="101" t="s">
        <v>195</v>
      </c>
      <c r="F88" s="16"/>
      <c r="G88" s="80" t="s">
        <v>58</v>
      </c>
      <c r="H88" s="80" t="s">
        <v>24</v>
      </c>
      <c r="I88" s="105" t="s">
        <v>196</v>
      </c>
      <c r="J88" s="106">
        <v>5.0</v>
      </c>
      <c r="K88" s="107">
        <v>1500.0</v>
      </c>
      <c r="L88" s="109">
        <f t="shared" si="6"/>
        <v>7500</v>
      </c>
      <c r="M88" s="74" t="s">
        <v>60</v>
      </c>
    </row>
    <row r="89" ht="15.75" customHeight="1">
      <c r="A89" s="91">
        <v>68.0</v>
      </c>
      <c r="B89" s="110" t="s">
        <v>170</v>
      </c>
      <c r="C89" s="111" t="s">
        <v>205</v>
      </c>
      <c r="D89" s="112" t="s">
        <v>206</v>
      </c>
      <c r="E89" s="101" t="s">
        <v>195</v>
      </c>
      <c r="F89" s="16"/>
      <c r="G89" s="113" t="s">
        <v>58</v>
      </c>
      <c r="H89" s="113" t="s">
        <v>24</v>
      </c>
      <c r="I89" s="114" t="s">
        <v>207</v>
      </c>
      <c r="J89" s="115">
        <v>50.0</v>
      </c>
      <c r="K89" s="107">
        <v>7.0</v>
      </c>
      <c r="L89" s="108">
        <f t="shared" si="6"/>
        <v>350</v>
      </c>
      <c r="M89" s="116" t="s">
        <v>60</v>
      </c>
    </row>
    <row r="90" ht="15.75" customHeight="1">
      <c r="A90" s="91">
        <v>69.0</v>
      </c>
      <c r="B90" s="117" t="s">
        <v>170</v>
      </c>
      <c r="C90" s="118" t="s">
        <v>208</v>
      </c>
      <c r="D90" s="119" t="s">
        <v>209</v>
      </c>
      <c r="E90" s="120" t="s">
        <v>195</v>
      </c>
      <c r="F90" s="121"/>
      <c r="G90" s="122" t="s">
        <v>58</v>
      </c>
      <c r="H90" s="123" t="s">
        <v>24</v>
      </c>
      <c r="I90" s="124" t="s">
        <v>210</v>
      </c>
      <c r="J90" s="125">
        <v>2.0</v>
      </c>
      <c r="K90" s="126">
        <v>5000.0</v>
      </c>
      <c r="L90" s="127">
        <f t="shared" si="6"/>
        <v>10000</v>
      </c>
      <c r="M90" s="128" t="s">
        <v>60</v>
      </c>
    </row>
    <row r="91" ht="15.75" customHeight="1">
      <c r="A91" s="91">
        <v>70.0</v>
      </c>
      <c r="B91" s="117" t="s">
        <v>85</v>
      </c>
      <c r="C91" s="118" t="s">
        <v>211</v>
      </c>
      <c r="D91" s="119" t="s">
        <v>212</v>
      </c>
      <c r="E91" s="120" t="s">
        <v>195</v>
      </c>
      <c r="F91" s="121"/>
      <c r="G91" s="122" t="s">
        <v>58</v>
      </c>
      <c r="H91" s="122" t="s">
        <v>27</v>
      </c>
      <c r="I91" s="129" t="s">
        <v>88</v>
      </c>
      <c r="J91" s="130">
        <v>3.0</v>
      </c>
      <c r="K91" s="131">
        <v>1645.46</v>
      </c>
      <c r="L91" s="127">
        <f t="shared" si="6"/>
        <v>4936.38</v>
      </c>
      <c r="M91" s="128" t="s">
        <v>60</v>
      </c>
    </row>
    <row r="92" ht="15.75" customHeight="1">
      <c r="A92" s="91">
        <v>71.0</v>
      </c>
      <c r="B92" s="117" t="s">
        <v>85</v>
      </c>
      <c r="C92" s="118" t="s">
        <v>213</v>
      </c>
      <c r="D92" s="119" t="s">
        <v>212</v>
      </c>
      <c r="E92" s="120" t="s">
        <v>195</v>
      </c>
      <c r="F92" s="121"/>
      <c r="G92" s="122" t="s">
        <v>58</v>
      </c>
      <c r="H92" s="122" t="s">
        <v>27</v>
      </c>
      <c r="I92" s="129" t="s">
        <v>88</v>
      </c>
      <c r="J92" s="130">
        <v>3.0</v>
      </c>
      <c r="K92" s="131">
        <v>1422.28</v>
      </c>
      <c r="L92" s="127">
        <f t="shared" si="6"/>
        <v>4266.84</v>
      </c>
      <c r="M92" s="128" t="s">
        <v>60</v>
      </c>
    </row>
    <row r="93" ht="15.75" customHeight="1">
      <c r="A93" s="91">
        <v>72.0</v>
      </c>
      <c r="B93" s="132" t="s">
        <v>85</v>
      </c>
      <c r="C93" s="133" t="s">
        <v>214</v>
      </c>
      <c r="D93" s="134" t="s">
        <v>215</v>
      </c>
      <c r="E93" s="135" t="s">
        <v>195</v>
      </c>
      <c r="F93" s="121"/>
      <c r="G93" s="136" t="s">
        <v>58</v>
      </c>
      <c r="H93" s="136" t="s">
        <v>27</v>
      </c>
      <c r="I93" s="137" t="s">
        <v>88</v>
      </c>
      <c r="J93" s="138">
        <v>25.0</v>
      </c>
      <c r="K93" s="139">
        <v>3000.0</v>
      </c>
      <c r="L93" s="127">
        <f t="shared" si="6"/>
        <v>75000</v>
      </c>
      <c r="M93" s="128" t="s">
        <v>60</v>
      </c>
    </row>
    <row r="94" ht="15.75" customHeight="1">
      <c r="A94" s="91">
        <v>73.0</v>
      </c>
      <c r="B94" s="132" t="s">
        <v>85</v>
      </c>
      <c r="C94" s="133" t="s">
        <v>216</v>
      </c>
      <c r="D94" s="134" t="s">
        <v>217</v>
      </c>
      <c r="E94" s="135" t="s">
        <v>195</v>
      </c>
      <c r="F94" s="121"/>
      <c r="G94" s="136" t="s">
        <v>58</v>
      </c>
      <c r="H94" s="136" t="s">
        <v>27</v>
      </c>
      <c r="I94" s="137" t="s">
        <v>88</v>
      </c>
      <c r="J94" s="138">
        <v>7.0</v>
      </c>
      <c r="K94" s="139">
        <v>1500.0</v>
      </c>
      <c r="L94" s="127">
        <f t="shared" si="6"/>
        <v>10500</v>
      </c>
      <c r="M94" s="128" t="s">
        <v>60</v>
      </c>
    </row>
    <row r="95" ht="15.75" customHeight="1">
      <c r="A95" s="91">
        <v>74.0</v>
      </c>
      <c r="B95" s="132" t="s">
        <v>85</v>
      </c>
      <c r="C95" s="133" t="s">
        <v>216</v>
      </c>
      <c r="D95" s="134" t="s">
        <v>217</v>
      </c>
      <c r="E95" s="135" t="s">
        <v>195</v>
      </c>
      <c r="F95" s="121"/>
      <c r="G95" s="136" t="s">
        <v>58</v>
      </c>
      <c r="H95" s="136" t="s">
        <v>27</v>
      </c>
      <c r="I95" s="137" t="s">
        <v>88</v>
      </c>
      <c r="J95" s="138">
        <v>7.0</v>
      </c>
      <c r="K95" s="139">
        <v>1500.0</v>
      </c>
      <c r="L95" s="127">
        <f t="shared" si="6"/>
        <v>10500</v>
      </c>
      <c r="M95" s="128" t="s">
        <v>60</v>
      </c>
    </row>
    <row r="96" ht="15.75" customHeight="1">
      <c r="A96" s="91">
        <v>75.0</v>
      </c>
      <c r="B96" s="132" t="s">
        <v>85</v>
      </c>
      <c r="C96" s="133" t="s">
        <v>216</v>
      </c>
      <c r="D96" s="134" t="s">
        <v>217</v>
      </c>
      <c r="E96" s="135" t="s">
        <v>195</v>
      </c>
      <c r="F96" s="121"/>
      <c r="G96" s="136" t="s">
        <v>58</v>
      </c>
      <c r="H96" s="136" t="s">
        <v>27</v>
      </c>
      <c r="I96" s="137" t="s">
        <v>88</v>
      </c>
      <c r="J96" s="138">
        <v>4.0</v>
      </c>
      <c r="K96" s="139">
        <v>1500.0</v>
      </c>
      <c r="L96" s="127">
        <f t="shared" si="6"/>
        <v>6000</v>
      </c>
      <c r="M96" s="128" t="s">
        <v>60</v>
      </c>
    </row>
    <row r="97" ht="15.75" customHeight="1">
      <c r="A97" s="91">
        <v>76.0</v>
      </c>
      <c r="B97" s="132" t="s">
        <v>85</v>
      </c>
      <c r="C97" s="133" t="s">
        <v>216</v>
      </c>
      <c r="D97" s="134" t="s">
        <v>217</v>
      </c>
      <c r="E97" s="135" t="s">
        <v>195</v>
      </c>
      <c r="F97" s="121"/>
      <c r="G97" s="136" t="s">
        <v>58</v>
      </c>
      <c r="H97" s="136" t="s">
        <v>27</v>
      </c>
      <c r="I97" s="137" t="s">
        <v>88</v>
      </c>
      <c r="J97" s="138">
        <v>4.0</v>
      </c>
      <c r="K97" s="139">
        <v>1500.0</v>
      </c>
      <c r="L97" s="127">
        <f t="shared" si="6"/>
        <v>6000</v>
      </c>
      <c r="M97" s="128" t="s">
        <v>60</v>
      </c>
    </row>
    <row r="98" ht="15.75" customHeight="1">
      <c r="A98" s="91">
        <v>77.0</v>
      </c>
      <c r="B98" s="132" t="s">
        <v>85</v>
      </c>
      <c r="C98" s="133" t="s">
        <v>216</v>
      </c>
      <c r="D98" s="134" t="s">
        <v>217</v>
      </c>
      <c r="E98" s="135" t="s">
        <v>195</v>
      </c>
      <c r="F98" s="121"/>
      <c r="G98" s="136" t="s">
        <v>58</v>
      </c>
      <c r="H98" s="136" t="s">
        <v>27</v>
      </c>
      <c r="I98" s="137" t="s">
        <v>88</v>
      </c>
      <c r="J98" s="138">
        <v>4.0</v>
      </c>
      <c r="K98" s="139">
        <v>1500.0</v>
      </c>
      <c r="L98" s="127">
        <f t="shared" si="6"/>
        <v>6000</v>
      </c>
      <c r="M98" s="128" t="s">
        <v>60</v>
      </c>
    </row>
    <row r="99" ht="15.75" customHeight="1">
      <c r="A99" s="91">
        <v>78.0</v>
      </c>
      <c r="B99" s="132" t="s">
        <v>85</v>
      </c>
      <c r="C99" s="133" t="s">
        <v>216</v>
      </c>
      <c r="D99" s="134" t="s">
        <v>217</v>
      </c>
      <c r="E99" s="135" t="s">
        <v>195</v>
      </c>
      <c r="F99" s="121"/>
      <c r="G99" s="136" t="s">
        <v>58</v>
      </c>
      <c r="H99" s="136" t="s">
        <v>27</v>
      </c>
      <c r="I99" s="137" t="s">
        <v>88</v>
      </c>
      <c r="J99" s="138">
        <v>4.0</v>
      </c>
      <c r="K99" s="139">
        <v>1500.0</v>
      </c>
      <c r="L99" s="127">
        <f t="shared" si="6"/>
        <v>6000</v>
      </c>
      <c r="M99" s="128" t="s">
        <v>60</v>
      </c>
    </row>
    <row r="100" ht="15.75" customHeight="1">
      <c r="A100" s="91">
        <v>79.0</v>
      </c>
      <c r="B100" s="132" t="s">
        <v>85</v>
      </c>
      <c r="C100" s="133" t="s">
        <v>216</v>
      </c>
      <c r="D100" s="134" t="s">
        <v>217</v>
      </c>
      <c r="E100" s="135" t="s">
        <v>195</v>
      </c>
      <c r="F100" s="121"/>
      <c r="G100" s="136" t="s">
        <v>58</v>
      </c>
      <c r="H100" s="136" t="s">
        <v>27</v>
      </c>
      <c r="I100" s="137" t="s">
        <v>88</v>
      </c>
      <c r="J100" s="138">
        <v>3.0</v>
      </c>
      <c r="K100" s="139">
        <v>1500.0</v>
      </c>
      <c r="L100" s="127">
        <f t="shared" si="6"/>
        <v>4500</v>
      </c>
      <c r="M100" s="128" t="s">
        <v>60</v>
      </c>
    </row>
    <row r="101" ht="15.75" customHeight="1">
      <c r="A101" s="91">
        <v>80.0</v>
      </c>
      <c r="B101" s="132" t="s">
        <v>85</v>
      </c>
      <c r="C101" s="133" t="s">
        <v>216</v>
      </c>
      <c r="D101" s="134" t="s">
        <v>217</v>
      </c>
      <c r="E101" s="135" t="s">
        <v>195</v>
      </c>
      <c r="F101" s="121"/>
      <c r="G101" s="136" t="s">
        <v>58</v>
      </c>
      <c r="H101" s="136" t="s">
        <v>27</v>
      </c>
      <c r="I101" s="137" t="s">
        <v>88</v>
      </c>
      <c r="J101" s="138">
        <v>3.0</v>
      </c>
      <c r="K101" s="139">
        <v>1500.0</v>
      </c>
      <c r="L101" s="127">
        <f t="shared" si="6"/>
        <v>4500</v>
      </c>
      <c r="M101" s="128" t="s">
        <v>60</v>
      </c>
    </row>
    <row r="102" ht="15.75" customHeight="1">
      <c r="A102" s="91">
        <v>81.0</v>
      </c>
      <c r="B102" s="132" t="s">
        <v>85</v>
      </c>
      <c r="C102" s="133" t="s">
        <v>216</v>
      </c>
      <c r="D102" s="134" t="s">
        <v>217</v>
      </c>
      <c r="E102" s="135" t="s">
        <v>66</v>
      </c>
      <c r="F102" s="121"/>
      <c r="G102" s="136" t="s">
        <v>58</v>
      </c>
      <c r="H102" s="136" t="s">
        <v>27</v>
      </c>
      <c r="I102" s="137" t="s">
        <v>88</v>
      </c>
      <c r="J102" s="138">
        <v>2.0</v>
      </c>
      <c r="K102" s="139">
        <v>1500.0</v>
      </c>
      <c r="L102" s="127">
        <f t="shared" si="6"/>
        <v>3000</v>
      </c>
      <c r="M102" s="128" t="s">
        <v>60</v>
      </c>
    </row>
    <row r="103" ht="15.75" customHeight="1">
      <c r="A103" s="91">
        <v>79.0</v>
      </c>
      <c r="B103" s="132" t="s">
        <v>85</v>
      </c>
      <c r="C103" s="133" t="s">
        <v>216</v>
      </c>
      <c r="D103" s="134" t="s">
        <v>217</v>
      </c>
      <c r="E103" s="135" t="s">
        <v>66</v>
      </c>
      <c r="F103" s="121"/>
      <c r="G103" s="136" t="s">
        <v>58</v>
      </c>
      <c r="H103" s="136" t="s">
        <v>27</v>
      </c>
      <c r="I103" s="137" t="s">
        <v>88</v>
      </c>
      <c r="J103" s="138">
        <v>2.0</v>
      </c>
      <c r="K103" s="139">
        <v>1500.0</v>
      </c>
      <c r="L103" s="127">
        <f t="shared" si="6"/>
        <v>3000</v>
      </c>
      <c r="M103" s="128" t="s">
        <v>60</v>
      </c>
    </row>
    <row r="104" ht="15.75" customHeight="1">
      <c r="A104" s="91">
        <v>77.0</v>
      </c>
      <c r="B104" s="132" t="s">
        <v>85</v>
      </c>
      <c r="C104" s="133" t="s">
        <v>216</v>
      </c>
      <c r="D104" s="134" t="s">
        <v>217</v>
      </c>
      <c r="E104" s="135" t="s">
        <v>66</v>
      </c>
      <c r="F104" s="121"/>
      <c r="G104" s="136" t="s">
        <v>58</v>
      </c>
      <c r="H104" s="136" t="s">
        <v>27</v>
      </c>
      <c r="I104" s="137" t="s">
        <v>88</v>
      </c>
      <c r="J104" s="138">
        <v>2.0</v>
      </c>
      <c r="K104" s="139">
        <v>1500.0</v>
      </c>
      <c r="L104" s="127">
        <f t="shared" si="6"/>
        <v>3000</v>
      </c>
      <c r="M104" s="128" t="s">
        <v>60</v>
      </c>
    </row>
    <row r="105" ht="15.75" customHeight="1">
      <c r="A105" s="91">
        <v>75.0</v>
      </c>
      <c r="B105" s="132" t="s">
        <v>85</v>
      </c>
      <c r="C105" s="133" t="s">
        <v>216</v>
      </c>
      <c r="D105" s="134" t="s">
        <v>217</v>
      </c>
      <c r="E105" s="135" t="s">
        <v>66</v>
      </c>
      <c r="F105" s="121"/>
      <c r="G105" s="136" t="s">
        <v>58</v>
      </c>
      <c r="H105" s="136" t="s">
        <v>27</v>
      </c>
      <c r="I105" s="137" t="s">
        <v>88</v>
      </c>
      <c r="J105" s="138">
        <v>2.0</v>
      </c>
      <c r="K105" s="139">
        <v>1500.0</v>
      </c>
      <c r="L105" s="127">
        <f t="shared" si="6"/>
        <v>3000</v>
      </c>
      <c r="M105" s="128" t="s">
        <v>60</v>
      </c>
    </row>
    <row r="106" ht="15.75" customHeight="1">
      <c r="A106" s="91">
        <v>80.0</v>
      </c>
      <c r="B106" s="132" t="s">
        <v>85</v>
      </c>
      <c r="C106" s="133" t="s">
        <v>216</v>
      </c>
      <c r="D106" s="134" t="s">
        <v>218</v>
      </c>
      <c r="E106" s="135" t="s">
        <v>66</v>
      </c>
      <c r="F106" s="121"/>
      <c r="G106" s="136" t="s">
        <v>58</v>
      </c>
      <c r="H106" s="136" t="s">
        <v>27</v>
      </c>
      <c r="I106" s="137" t="s">
        <v>88</v>
      </c>
      <c r="J106" s="138">
        <v>3.0</v>
      </c>
      <c r="K106" s="139">
        <v>1500.0</v>
      </c>
      <c r="L106" s="127">
        <f t="shared" si="6"/>
        <v>4500</v>
      </c>
      <c r="M106" s="128" t="s">
        <v>60</v>
      </c>
    </row>
    <row r="107" ht="15.75" customHeight="1">
      <c r="A107" s="91">
        <v>82.0</v>
      </c>
      <c r="B107" s="132" t="s">
        <v>85</v>
      </c>
      <c r="C107" s="133" t="s">
        <v>219</v>
      </c>
      <c r="D107" s="134" t="s">
        <v>220</v>
      </c>
      <c r="E107" s="135" t="s">
        <v>66</v>
      </c>
      <c r="F107" s="121"/>
      <c r="G107" s="136" t="s">
        <v>58</v>
      </c>
      <c r="H107" s="136" t="s">
        <v>27</v>
      </c>
      <c r="I107" s="137" t="s">
        <v>221</v>
      </c>
      <c r="J107" s="138">
        <v>200.0</v>
      </c>
      <c r="K107" s="139">
        <v>80.0</v>
      </c>
      <c r="L107" s="127">
        <f t="shared" si="6"/>
        <v>16000</v>
      </c>
      <c r="M107" s="128" t="s">
        <v>60</v>
      </c>
    </row>
    <row r="108" ht="15.75" customHeight="1">
      <c r="A108" s="140">
        <v>83.0</v>
      </c>
      <c r="B108" s="132" t="s">
        <v>85</v>
      </c>
      <c r="C108" s="133" t="s">
        <v>222</v>
      </c>
      <c r="D108" s="141" t="s">
        <v>223</v>
      </c>
      <c r="E108" s="135" t="s">
        <v>66</v>
      </c>
      <c r="F108" s="121"/>
      <c r="G108" s="136" t="s">
        <v>58</v>
      </c>
      <c r="H108" s="136" t="s">
        <v>27</v>
      </c>
      <c r="I108" s="137" t="s">
        <v>221</v>
      </c>
      <c r="J108" s="138">
        <v>15.0</v>
      </c>
      <c r="K108" s="139">
        <v>500.0</v>
      </c>
      <c r="L108" s="127">
        <f t="shared" si="6"/>
        <v>7500</v>
      </c>
      <c r="M108" s="128" t="s">
        <v>60</v>
      </c>
    </row>
    <row r="109" ht="15.75" customHeight="1">
      <c r="A109" s="142">
        <v>84.0</v>
      </c>
      <c r="B109" s="132" t="s">
        <v>85</v>
      </c>
      <c r="C109" s="143" t="s">
        <v>224</v>
      </c>
      <c r="D109" s="144" t="s">
        <v>225</v>
      </c>
      <c r="E109" s="135" t="s">
        <v>66</v>
      </c>
      <c r="F109" s="121"/>
      <c r="G109" s="136" t="s">
        <v>58</v>
      </c>
      <c r="H109" s="145" t="s">
        <v>21</v>
      </c>
      <c r="I109" s="146" t="s">
        <v>188</v>
      </c>
      <c r="J109" s="147">
        <v>8.0</v>
      </c>
      <c r="K109" s="148">
        <v>2500.0</v>
      </c>
      <c r="L109" s="127">
        <f t="shared" si="6"/>
        <v>20000</v>
      </c>
      <c r="M109" s="128" t="s">
        <v>60</v>
      </c>
    </row>
    <row r="110" ht="15.75" customHeight="1">
      <c r="A110" s="142">
        <v>86.0</v>
      </c>
      <c r="B110" s="132" t="s">
        <v>170</v>
      </c>
      <c r="C110" s="133" t="s">
        <v>226</v>
      </c>
      <c r="D110" s="141" t="s">
        <v>227</v>
      </c>
      <c r="E110" s="135" t="s">
        <v>66</v>
      </c>
      <c r="F110" s="121"/>
      <c r="G110" s="136" t="s">
        <v>58</v>
      </c>
      <c r="H110" s="136" t="s">
        <v>27</v>
      </c>
      <c r="I110" s="149" t="s">
        <v>112</v>
      </c>
      <c r="J110" s="138">
        <v>1.0</v>
      </c>
      <c r="K110" s="139">
        <v>12000.0</v>
      </c>
      <c r="L110" s="127">
        <f t="shared" si="6"/>
        <v>12000</v>
      </c>
      <c r="M110" s="128" t="s">
        <v>60</v>
      </c>
    </row>
    <row r="111" ht="15.75" customHeight="1">
      <c r="A111" s="150"/>
      <c r="B111" s="151" t="s">
        <v>85</v>
      </c>
      <c r="C111" s="143" t="s">
        <v>228</v>
      </c>
      <c r="D111" s="144" t="s">
        <v>229</v>
      </c>
      <c r="E111" s="135" t="s">
        <v>66</v>
      </c>
      <c r="F111" s="121"/>
      <c r="G111" s="136" t="s">
        <v>58</v>
      </c>
      <c r="H111" s="136" t="s">
        <v>27</v>
      </c>
      <c r="I111" s="149" t="s">
        <v>112</v>
      </c>
      <c r="J111" s="138">
        <v>1.0</v>
      </c>
      <c r="K111" s="148">
        <v>10000.0</v>
      </c>
      <c r="L111" s="127">
        <f t="shared" si="6"/>
        <v>10000</v>
      </c>
      <c r="M111" s="128" t="s">
        <v>60</v>
      </c>
    </row>
    <row r="112" ht="15.75" customHeight="1">
      <c r="A112" s="150"/>
      <c r="B112" s="132" t="s">
        <v>170</v>
      </c>
      <c r="C112" s="133"/>
      <c r="D112" s="141"/>
      <c r="E112" s="135" t="s">
        <v>66</v>
      </c>
      <c r="F112" s="121"/>
      <c r="G112" s="136" t="s">
        <v>58</v>
      </c>
      <c r="H112" s="136" t="s">
        <v>27</v>
      </c>
      <c r="I112" s="149" t="s">
        <v>112</v>
      </c>
      <c r="J112" s="138">
        <v>1.0</v>
      </c>
      <c r="K112" s="139"/>
      <c r="L112" s="127">
        <f t="shared" si="6"/>
        <v>0</v>
      </c>
      <c r="M112" s="128" t="s">
        <v>60</v>
      </c>
    </row>
    <row r="113" ht="15.75" customHeight="1">
      <c r="A113" s="150"/>
      <c r="B113" s="152"/>
      <c r="C113" s="153"/>
      <c r="D113" s="154"/>
      <c r="E113" s="155"/>
      <c r="F113" s="155"/>
      <c r="G113" s="152"/>
      <c r="H113" s="152"/>
      <c r="I113" s="156"/>
      <c r="J113" s="157"/>
      <c r="K113" s="158"/>
      <c r="L113" s="159"/>
      <c r="M113" s="160"/>
    </row>
    <row r="114" ht="15.75" customHeight="1">
      <c r="A114" s="150"/>
      <c r="B114" s="152"/>
      <c r="C114" s="153"/>
      <c r="D114" s="154"/>
      <c r="E114" s="155"/>
      <c r="F114" s="155"/>
      <c r="G114" s="152"/>
      <c r="H114" s="152"/>
      <c r="I114" s="156"/>
      <c r="J114" s="157"/>
      <c r="K114" s="158"/>
      <c r="L114" s="159"/>
      <c r="M114" s="160"/>
    </row>
    <row r="115" ht="15.75" customHeight="1">
      <c r="A115" s="150"/>
      <c r="B115" s="152"/>
      <c r="C115" s="153"/>
      <c r="D115" s="154"/>
      <c r="E115" s="155"/>
      <c r="F115" s="155"/>
      <c r="G115" s="152"/>
      <c r="H115" s="152"/>
      <c r="I115" s="156"/>
      <c r="J115" s="157"/>
      <c r="K115" s="158"/>
      <c r="L115" s="159"/>
      <c r="M115" s="160"/>
    </row>
    <row r="116" ht="15.75" customHeight="1">
      <c r="A116" s="150"/>
      <c r="B116" s="152"/>
      <c r="C116" s="153"/>
      <c r="D116" s="154"/>
      <c r="E116" s="155"/>
      <c r="F116" s="155"/>
      <c r="G116" s="152"/>
      <c r="H116" s="152"/>
      <c r="I116" s="156"/>
      <c r="J116" s="157"/>
      <c r="K116" s="158"/>
      <c r="L116" s="159"/>
      <c r="M116" s="160"/>
    </row>
    <row r="117" ht="15.75" customHeight="1">
      <c r="A117" s="150"/>
      <c r="B117" s="152"/>
      <c r="C117" s="153"/>
      <c r="D117" s="154"/>
      <c r="E117" s="155"/>
      <c r="F117" s="155"/>
      <c r="G117" s="152"/>
      <c r="H117" s="152"/>
      <c r="I117" s="156"/>
      <c r="J117" s="157"/>
      <c r="K117" s="158"/>
      <c r="L117" s="159"/>
      <c r="M117" s="160"/>
    </row>
    <row r="118" ht="15.75" customHeight="1">
      <c r="A118" s="150"/>
      <c r="B118" s="152"/>
      <c r="C118" s="153"/>
      <c r="D118" s="154"/>
      <c r="E118" s="155"/>
      <c r="F118" s="155"/>
      <c r="G118" s="152"/>
      <c r="H118" s="152"/>
      <c r="I118" s="156"/>
      <c r="J118" s="157"/>
      <c r="K118" s="158"/>
      <c r="L118" s="159"/>
      <c r="M118" s="160"/>
    </row>
    <row r="119" ht="15.75" customHeight="1">
      <c r="A119" s="150"/>
      <c r="B119" s="152"/>
      <c r="C119" s="153"/>
      <c r="D119" s="154"/>
      <c r="E119" s="155"/>
      <c r="F119" s="155"/>
      <c r="G119" s="152"/>
      <c r="H119" s="152"/>
      <c r="I119" s="156"/>
      <c r="J119" s="157"/>
      <c r="K119" s="158"/>
      <c r="L119" s="159"/>
      <c r="M119" s="160"/>
    </row>
    <row r="120" ht="15.75" customHeight="1">
      <c r="A120" s="150"/>
      <c r="B120" s="152"/>
      <c r="C120" s="153"/>
      <c r="D120" s="154"/>
      <c r="E120" s="155"/>
      <c r="F120" s="155"/>
      <c r="G120" s="152"/>
      <c r="H120" s="152"/>
      <c r="I120" s="156"/>
      <c r="J120" s="157"/>
      <c r="K120" s="158"/>
      <c r="L120" s="159"/>
      <c r="M120" s="160"/>
    </row>
    <row r="121" ht="15.75" customHeight="1">
      <c r="A121" s="150"/>
      <c r="B121" s="152"/>
      <c r="C121" s="153"/>
      <c r="D121" s="154"/>
      <c r="E121" s="155"/>
      <c r="F121" s="155"/>
      <c r="G121" s="152"/>
      <c r="H121" s="152"/>
      <c r="I121" s="156"/>
      <c r="J121" s="157"/>
      <c r="K121" s="158"/>
      <c r="L121" s="159"/>
      <c r="M121" s="160"/>
    </row>
    <row r="122" ht="15.75" customHeight="1">
      <c r="A122" s="150"/>
      <c r="B122" s="152"/>
      <c r="C122" s="153"/>
      <c r="D122" s="154"/>
      <c r="E122" s="155"/>
      <c r="F122" s="155"/>
      <c r="G122" s="152"/>
      <c r="H122" s="152"/>
      <c r="I122" s="156"/>
      <c r="J122" s="157"/>
      <c r="K122" s="158"/>
      <c r="L122" s="159"/>
      <c r="M122" s="160"/>
    </row>
    <row r="123" ht="15.75" customHeight="1">
      <c r="A123" s="150"/>
      <c r="B123" s="152"/>
      <c r="C123" s="153"/>
      <c r="D123" s="154"/>
      <c r="E123" s="155"/>
      <c r="F123" s="155"/>
      <c r="G123" s="152"/>
      <c r="H123" s="152"/>
      <c r="I123" s="156"/>
      <c r="J123" s="157"/>
      <c r="K123" s="158"/>
      <c r="L123" s="159"/>
      <c r="M123" s="160"/>
    </row>
    <row r="124" ht="15.75" customHeight="1">
      <c r="A124" s="150"/>
      <c r="B124" s="152"/>
      <c r="C124" s="153"/>
      <c r="D124" s="154"/>
      <c r="E124" s="155"/>
      <c r="F124" s="155"/>
      <c r="G124" s="152"/>
      <c r="H124" s="152"/>
      <c r="I124" s="156"/>
      <c r="J124" s="157"/>
      <c r="K124" s="158"/>
      <c r="L124" s="159"/>
      <c r="M124" s="160"/>
    </row>
    <row r="125" ht="15.75" customHeight="1">
      <c r="A125" s="150"/>
      <c r="B125" s="152"/>
      <c r="C125" s="153"/>
      <c r="D125" s="154"/>
      <c r="E125" s="155"/>
      <c r="F125" s="155"/>
      <c r="G125" s="152"/>
      <c r="H125" s="152"/>
      <c r="I125" s="156"/>
      <c r="J125" s="157"/>
      <c r="K125" s="158"/>
      <c r="L125" s="159"/>
      <c r="M125" s="160"/>
    </row>
  </sheetData>
  <mergeCells count="118">
    <mergeCell ref="E93:F93"/>
    <mergeCell ref="E94:F94"/>
    <mergeCell ref="E95:F95"/>
    <mergeCell ref="E96:F96"/>
    <mergeCell ref="E97:F97"/>
    <mergeCell ref="E98:F98"/>
    <mergeCell ref="E99:F99"/>
    <mergeCell ref="E88:F88"/>
    <mergeCell ref="E87:F87"/>
    <mergeCell ref="A7:B7"/>
    <mergeCell ref="C7:F7"/>
    <mergeCell ref="H7:L7"/>
    <mergeCell ref="A9:B9"/>
    <mergeCell ref="C9:F9"/>
    <mergeCell ref="H9:L9"/>
    <mergeCell ref="A11:M11"/>
    <mergeCell ref="J14:K14"/>
    <mergeCell ref="J15:K15"/>
    <mergeCell ref="J16:K16"/>
    <mergeCell ref="J17:L17"/>
    <mergeCell ref="A12:E12"/>
    <mergeCell ref="J12:M12"/>
    <mergeCell ref="A13:D13"/>
    <mergeCell ref="J13:K13"/>
    <mergeCell ref="A14:D14"/>
    <mergeCell ref="A15:D15"/>
    <mergeCell ref="E15:F15"/>
    <mergeCell ref="A16:D16"/>
    <mergeCell ref="E16:F16"/>
    <mergeCell ref="A17:D17"/>
    <mergeCell ref="E17:F17"/>
    <mergeCell ref="A18:M18"/>
    <mergeCell ref="A19:A20"/>
    <mergeCell ref="E19:F19"/>
    <mergeCell ref="E20:F20"/>
    <mergeCell ref="E21:F21"/>
    <mergeCell ref="E22:F22"/>
    <mergeCell ref="E23:F23"/>
    <mergeCell ref="E26:F26"/>
    <mergeCell ref="E25:F25"/>
    <mergeCell ref="E24:F24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9:F49"/>
    <mergeCell ref="E50:F50"/>
    <mergeCell ref="E51:F51"/>
    <mergeCell ref="E52:F52"/>
    <mergeCell ref="E53:F53"/>
    <mergeCell ref="E54:F54"/>
    <mergeCell ref="E48:F48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70:F70"/>
    <mergeCell ref="E71:F71"/>
    <mergeCell ref="E72:F72"/>
    <mergeCell ref="E73:F73"/>
    <mergeCell ref="E74:F74"/>
    <mergeCell ref="E75:F75"/>
    <mergeCell ref="E76:F76"/>
    <mergeCell ref="E69:F69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9:F89"/>
    <mergeCell ref="E90:F90"/>
    <mergeCell ref="E91:F91"/>
    <mergeCell ref="E92:F92"/>
    <mergeCell ref="E108:F108"/>
    <mergeCell ref="E109:F109"/>
    <mergeCell ref="E111:F111"/>
    <mergeCell ref="E112:F112"/>
    <mergeCell ref="E104:F104"/>
    <mergeCell ref="E105:F105"/>
    <mergeCell ref="E100:F100"/>
    <mergeCell ref="E101:F101"/>
    <mergeCell ref="E102:F102"/>
    <mergeCell ref="E103:F103"/>
    <mergeCell ref="E106:F106"/>
    <mergeCell ref="E107:F107"/>
    <mergeCell ref="E110:F110"/>
  </mergeCells>
  <conditionalFormatting sqref="L13">
    <cfRule type="expression" dxfId="0" priority="1">
      <formula>$M$13&gt;15000</formula>
    </cfRule>
  </conditionalFormatting>
  <conditionalFormatting sqref="L13">
    <cfRule type="expression" dxfId="0" priority="2">
      <formula>$L$13&gt;0.05</formula>
    </cfRule>
  </conditionalFormatting>
  <conditionalFormatting sqref="L14">
    <cfRule type="expression" dxfId="0" priority="3">
      <formula>$L$14&gt;0.15</formula>
    </cfRule>
  </conditionalFormatting>
  <conditionalFormatting sqref="L15">
    <cfRule type="expression" dxfId="0" priority="4">
      <formula>$L$15&gt;0.2</formula>
    </cfRule>
  </conditionalFormatting>
  <conditionalFormatting sqref="L15">
    <cfRule type="expression" dxfId="0" priority="5">
      <formula>$L$15&lt;0.05</formula>
    </cfRule>
  </conditionalFormatting>
  <conditionalFormatting sqref="E13">
    <cfRule type="expression" dxfId="0" priority="6">
      <formula>$E$13&gt;0.3</formula>
    </cfRule>
  </conditionalFormatting>
  <conditionalFormatting sqref="M17">
    <cfRule type="expression" dxfId="0" priority="7">
      <formula>AND($M$17&gt;200000,F12="Pessoa Física")</formula>
    </cfRule>
  </conditionalFormatting>
  <conditionalFormatting sqref="F13">
    <cfRule type="expression" dxfId="0" priority="8">
      <formula>AND($F$13&gt;45000,F12="Pessoa Física")</formula>
    </cfRule>
  </conditionalFormatting>
  <dataValidations>
    <dataValidation type="list" allowBlank="1" showErrorMessage="1" sqref="H21:H125">
      <formula1>"Elaboração,Despesas Administrativas,Divulgação,Outros"</formula1>
    </dataValidation>
    <dataValidation type="list" allowBlank="1" showErrorMessage="1" sqref="G21:G125">
      <formula1>"Proponente,Terceiros"</formula1>
    </dataValidation>
    <dataValidation type="list" allowBlank="1" showErrorMessage="1" sqref="M21:M125">
      <formula1>"FAC,Recursos provenientes de cobrança de ingressos,Recursos financeiros de outras fontes"</formula1>
    </dataValidation>
    <dataValidation type="list" allowBlank="1" showErrorMessage="1" sqref="B21:B125">
      <formula1>"Pré-Produção,Produção,Pós-Produção"</formula1>
    </dataValidation>
    <dataValidation type="list" allowBlank="1" showErrorMessage="1" sqref="F12">
      <formula1>"Pessoa Física,Pessoa Jurídica"</formula1>
    </dataValidation>
  </dataValidations>
  <printOptions/>
  <pageMargins bottom="0.5511811023622047" footer="0.0" header="0.0" left="0.2362204724409449" right="0.2362204724409449" top="0.7480314960629921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2016-03-02T12:58:10Z</dcterms:created>
  <dc:creator>Eduardo Molina</dc:creator>
</cp:coreProperties>
</file>